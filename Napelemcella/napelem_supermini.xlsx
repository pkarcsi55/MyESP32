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\Progarmozás\ESP32\SUPER_MINI_Napelem\"/>
    </mc:Choice>
  </mc:AlternateContent>
  <xr:revisionPtr revIDLastSave="0" documentId="13_ncr:1_{E504A7E9-5E0B-4E82-96ED-99E53A10D29B}" xr6:coauthVersionLast="47" xr6:coauthVersionMax="47" xr10:uidLastSave="{00000000-0000-0000-0000-000000000000}"/>
  <bookViews>
    <workbookView xWindow="-120" yWindow="-120" windowWidth="29040" windowHeight="16440" xr2:uid="{B93E16F6-4363-4D64-B84E-F69C0F6D7D43}"/>
  </bookViews>
  <sheets>
    <sheet name="MHU" sheetId="7" r:id="rId1"/>
    <sheet name="Bejövő adatok" sheetId="5" r:id="rId2"/>
    <sheet name="Kimenő adatok" sheetId="4" r:id="rId3"/>
    <sheet name="Beállítások" sheetId="3" r:id="rId4"/>
  </sheets>
  <definedNames>
    <definedName name="DataChannelCountDefault">#REF!</definedName>
    <definedName name="DataChannelCountSetting">Beállítások!$C$8</definedName>
    <definedName name="DataDelayDefault">#REF!</definedName>
    <definedName name="DataDelaySetting">Beállítások!$C$4</definedName>
    <definedName name="DataOrientationDefault">#REF!</definedName>
    <definedName name="DataOrientationSetting">Beállítások!$C$10</definedName>
    <definedName name="DataRowCountDefault">#REF!</definedName>
    <definedName name="DataRowCountSetting">Beállítások!$C$6</definedName>
    <definedName name="Manifest_BaudRate">#REF!</definedName>
    <definedName name="Manifest_DataInterval">#REF!</definedName>
    <definedName name="Manifest_Generated">#REF!</definedName>
    <definedName name="Manifest_Id">#REF!</definedName>
    <definedName name="Manifest_Sche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B3" i="7" s="1"/>
  <c r="H4" i="7"/>
  <c r="B4" i="7" s="1"/>
  <c r="H5" i="7"/>
  <c r="B5" i="7" s="1"/>
  <c r="H6" i="7"/>
  <c r="B6" i="7" s="1"/>
  <c r="H7" i="7"/>
  <c r="B7" i="7" s="1"/>
  <c r="H8" i="7"/>
  <c r="B8" i="7" s="1"/>
  <c r="H9" i="7"/>
  <c r="B9" i="7" s="1"/>
  <c r="H10" i="7"/>
  <c r="B10" i="7" s="1"/>
  <c r="H11" i="7"/>
  <c r="B11" i="7" s="1"/>
  <c r="H12" i="7"/>
  <c r="B12" i="7" s="1"/>
  <c r="H13" i="7"/>
  <c r="B13" i="7" s="1"/>
  <c r="H14" i="7"/>
  <c r="B14" i="7" s="1"/>
  <c r="H15" i="7"/>
  <c r="B15" i="7" s="1"/>
  <c r="H16" i="7"/>
  <c r="B16" i="7" s="1"/>
  <c r="H17" i="7"/>
  <c r="B17" i="7" s="1"/>
  <c r="H18" i="7"/>
  <c r="B18" i="7" s="1"/>
  <c r="H19" i="7"/>
  <c r="B19" i="7" s="1"/>
  <c r="H20" i="7"/>
  <c r="B20" i="7" s="1"/>
  <c r="H21" i="7"/>
  <c r="B21" i="7" s="1"/>
  <c r="H22" i="7"/>
  <c r="B22" i="7" s="1"/>
  <c r="H23" i="7"/>
  <c r="B23" i="7" s="1"/>
  <c r="H24" i="7"/>
  <c r="B24" i="7" s="1"/>
  <c r="H25" i="7"/>
  <c r="B25" i="7" s="1"/>
  <c r="H26" i="7"/>
  <c r="B26" i="7" s="1"/>
  <c r="H27" i="7"/>
  <c r="B27" i="7" s="1"/>
  <c r="H28" i="7"/>
  <c r="B28" i="7" s="1"/>
  <c r="H29" i="7"/>
  <c r="B29" i="7" s="1"/>
  <c r="H30" i="7"/>
  <c r="B30" i="7" s="1"/>
  <c r="H31" i="7"/>
  <c r="B31" i="7" s="1"/>
  <c r="H2" i="7"/>
  <c r="B2" i="7" s="1"/>
  <c r="G3" i="7"/>
  <c r="A3" i="7" s="1"/>
  <c r="G4" i="7"/>
  <c r="A4" i="7" s="1"/>
  <c r="G5" i="7"/>
  <c r="A5" i="7" s="1"/>
  <c r="G6" i="7"/>
  <c r="A6" i="7" s="1"/>
  <c r="G7" i="7"/>
  <c r="A7" i="7" s="1"/>
  <c r="G8" i="7"/>
  <c r="A8" i="7" s="1"/>
  <c r="G9" i="7"/>
  <c r="A9" i="7" s="1"/>
  <c r="G10" i="7"/>
  <c r="A10" i="7" s="1"/>
  <c r="G11" i="7"/>
  <c r="A11" i="7" s="1"/>
  <c r="G12" i="7"/>
  <c r="A12" i="7" s="1"/>
  <c r="G13" i="7"/>
  <c r="A13" i="7" s="1"/>
  <c r="G14" i="7"/>
  <c r="A14" i="7" s="1"/>
  <c r="G15" i="7"/>
  <c r="A15" i="7" s="1"/>
  <c r="G16" i="7"/>
  <c r="A16" i="7" s="1"/>
  <c r="G17" i="7"/>
  <c r="A17" i="7" s="1"/>
  <c r="G18" i="7"/>
  <c r="A18" i="7" s="1"/>
  <c r="G19" i="7"/>
  <c r="A19" i="7" s="1"/>
  <c r="G20" i="7"/>
  <c r="A20" i="7" s="1"/>
  <c r="G21" i="7"/>
  <c r="A21" i="7" s="1"/>
  <c r="G22" i="7"/>
  <c r="A22" i="7" s="1"/>
  <c r="G23" i="7"/>
  <c r="A23" i="7" s="1"/>
  <c r="G24" i="7"/>
  <c r="A24" i="7" s="1"/>
  <c r="G25" i="7"/>
  <c r="A25" i="7" s="1"/>
  <c r="G26" i="7"/>
  <c r="A26" i="7" s="1"/>
  <c r="G27" i="7"/>
  <c r="A27" i="7" s="1"/>
  <c r="G28" i="7"/>
  <c r="A28" i="7" s="1"/>
  <c r="G29" i="7"/>
  <c r="A29" i="7" s="1"/>
  <c r="G30" i="7"/>
  <c r="A30" i="7" s="1"/>
  <c r="G31" i="7"/>
  <c r="A31" i="7" s="1"/>
  <c r="G2" i="7"/>
  <c r="A2" i="7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2" i="7"/>
  <c r="A5" i="4"/>
  <c r="D30" i="7" l="1"/>
  <c r="D31" i="7"/>
  <c r="D29" i="7"/>
  <c r="D28" i="7"/>
  <c r="D26" i="7"/>
  <c r="D27" i="7"/>
  <c r="D23" i="7"/>
  <c r="D25" i="7"/>
  <c r="D24" i="7"/>
  <c r="D22" i="7"/>
  <c r="D21" i="7"/>
  <c r="D20" i="7"/>
  <c r="D18" i="7"/>
  <c r="D19" i="7"/>
  <c r="D16" i="7"/>
  <c r="D15" i="7"/>
  <c r="D17" i="7"/>
  <c r="D14" i="7"/>
  <c r="D11" i="7"/>
  <c r="D12" i="7"/>
  <c r="D13" i="7"/>
  <c r="D10" i="7"/>
  <c r="D5" i="7"/>
  <c r="D9" i="7"/>
  <c r="D7" i="7"/>
  <c r="D8" i="7"/>
  <c r="D6" i="7"/>
  <c r="D3" i="7"/>
  <c r="D2" i="7"/>
  <c r="D4" i="7"/>
  <c r="J2" i="7"/>
</calcChain>
</file>

<file path=xl/sharedStrings.xml><?xml version="1.0" encoding="utf-8"?>
<sst xmlns="http://schemas.openxmlformats.org/spreadsheetml/2006/main" count="53" uniqueCount="32">
  <si>
    <t>Adatok időköze (ms)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</si>
  <si>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</si>
  <si>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</si>
  <si>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</si>
  <si>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</si>
  <si>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</si>
  <si>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</si>
  <si>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</si>
  <si>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</si>
  <si>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</si>
  <si>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</si>
  <si>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Munkafüzet-beállítások</t>
  </si>
  <si>
    <t>Az alábbi beállítások hatással lesznek arra, hogy miként olvassa be a program az adatokat az adatforrásokból a jelenlegi munkafüzetbe. Az egyes mezők tartalmának törlésével visszaállíthatja az alapértelmezett beállításukat.</t>
  </si>
  <si>
    <t>Adatsorok</t>
  </si>
  <si>
    <t>Adatcsatornák</t>
  </si>
  <si>
    <t>Adatok iránya</t>
  </si>
  <si>
    <t>Legújabbak utoljára</t>
  </si>
  <si>
    <r>
      <t>FIGYELMEZTETÉS:</t>
    </r>
    <r>
      <rPr>
        <sz val="11"/>
        <color theme="1"/>
        <rFont val="Segoe UI Light"/>
        <family val="2"/>
        <charset val="238"/>
      </rPr>
      <t xml:space="preserve"> Ha módosítja a beállításokat, tartalmak és/vagy egyéni formázások veszhetnek el a Bejövő adatok és a Kimenő adatok munkalapon. Az értékek módosítása előtt mindig mentse a beállításokat.</t>
    </r>
  </si>
  <si>
    <t>Kimenő adatok (küldés az eszközre)</t>
  </si>
  <si>
    <t>Az alábbi csatornákba bevitt adatokat a rendszer egy vesszővel tagolt karakterláncként küldi el a jelenleg csatlakoztatott eszköznek.</t>
  </si>
  <si>
    <t>Ebben a szakaszban fognak megjelenni a jelenlegi adatforrásból érkező adatok a fogadásukkor.</t>
  </si>
  <si>
    <t xml:space="preserve">Jelenlegi adatok </t>
  </si>
  <si>
    <t>TIME</t>
  </si>
  <si>
    <t xml:space="preserve">Előzményadatok </t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</si>
  <si>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n</t>
    </r>
  </si>
  <si>
    <r>
      <t>I</t>
    </r>
    <r>
      <rPr>
        <vertAlign val="subscript"/>
        <sz val="11"/>
        <color theme="1"/>
        <rFont val="Calibri"/>
        <family val="2"/>
        <charset val="238"/>
        <scheme val="minor"/>
      </rPr>
      <t>n</t>
    </r>
  </si>
  <si>
    <t>P</t>
  </si>
  <si>
    <t>&lt;-S</t>
  </si>
  <si>
    <t>Bejövő adatok innen: Soros USB-eszköz (COM5)</t>
  </si>
  <si>
    <t>s</t>
  </si>
  <si>
    <r>
      <t>U</t>
    </r>
    <r>
      <rPr>
        <vertAlign val="subscript"/>
        <sz val="11"/>
        <rFont val="Calibri"/>
        <family val="2"/>
        <charset val="238"/>
        <scheme val="minor"/>
      </rPr>
      <t>BE</t>
    </r>
  </si>
  <si>
    <t>Legújabbak elöl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</si>
</sst>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h:mm:ss.00"/>
    <numFmt numFmtId="165" formatCode="0.0&quot; mA&quot;"/>
    <numFmt numFmtId="166" formatCode="0.0&quot; V&quot;"/>
    <numFmt numFmtId="167" formatCode="0&quot; mV&quot;"/>
    <numFmt numFmtId="168" formatCode="0.00&quot; mW&quot;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Segoe UI Light"/>
      <family val="2"/>
      <charset val="238"/>
    </font>
    <font>
      <sz val="11"/>
      <color rgb="FF000000"/>
      <name val="Segoe UI Light"/>
      <family val="2"/>
      <charset val="238"/>
    </font>
    <font>
      <sz val="10"/>
      <color rgb="FF000000"/>
      <name val="Segoe UI Light"/>
      <family val="2"/>
      <charset val="238"/>
    </font>
    <font>
      <sz val="20"/>
      <color rgb="FF696969"/>
      <name val="Segoe UI Light"/>
      <family val="2"/>
      <charset val="238"/>
    </font>
    <font>
      <sz val="11"/>
      <color rgb="FF696969"/>
      <name val="Segoe UI Light"/>
      <family val="2"/>
      <charset val="238"/>
    </font>
    <font>
      <sz val="10"/>
      <color rgb="FF000000"/>
      <name val="Segoe UI"/>
      <family val="2"/>
      <charset val="238"/>
    </font>
    <font>
      <i/>
      <sz val="11"/>
      <color rgb="FF808080"/>
      <name val="Segoe UI Light"/>
      <family val="2"/>
      <charset val="238"/>
    </font>
    <font>
      <sz val="11"/>
      <color rgb="FFFF0000"/>
      <name val="Segoe UI Light"/>
      <family val="2"/>
      <charset val="238"/>
    </font>
    <font>
      <sz val="10"/>
      <color rgb="FF505050"/>
      <name val="Segoe UI"/>
      <family val="2"/>
      <charset val="238"/>
    </font>
    <font>
      <sz val="11"/>
      <color rgb="FF505050"/>
      <name val="Segoe UI"/>
      <family val="2"/>
      <charset val="238"/>
    </font>
    <font>
      <sz val="13"/>
      <color rgb="FF505050"/>
      <name val="Segoe UI"/>
      <family val="2"/>
      <charset val="238"/>
    </font>
    <font>
      <vertAlign val="subscript"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vertAlign val="subscript"/>
      <sz val="1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 applyProtection="1">
      <protection locked="0"/>
    </xf>
    <xf numFmtId="0" fontId="7" fillId="3" borderId="0" xfId="0" applyFont="1" applyFill="1" applyAlignment="1" applyProtection="1">
      <alignment horizontal="left" vertical="center" indent="1"/>
      <protection locked="0"/>
    </xf>
    <xf numFmtId="0" fontId="3" fillId="2" borderId="1" xfId="0" applyFont="1" applyFill="1" applyBorder="1" applyAlignment="1" applyProtection="1">
      <alignment horizontal="left" vertical="center" indent="1"/>
      <protection locked="0"/>
    </xf>
    <xf numFmtId="0" fontId="10" fillId="5" borderId="5" xfId="0" applyFont="1" applyFill="1" applyBorder="1" applyAlignment="1" applyProtection="1">
      <alignment horizontal="right" vertical="center" indent="1"/>
      <protection locked="0"/>
    </xf>
    <xf numFmtId="0" fontId="6" fillId="6" borderId="0" xfId="0" applyFont="1" applyFill="1" applyAlignment="1">
      <alignment horizontal="center" vertical="center"/>
    </xf>
    <xf numFmtId="0" fontId="10" fillId="7" borderId="6" xfId="0" applyFont="1" applyFill="1" applyBorder="1" applyAlignment="1" applyProtection="1">
      <alignment horizontal="right" vertical="center" indent="1"/>
      <protection locked="0"/>
    </xf>
    <xf numFmtId="164" fontId="10" fillId="7" borderId="6" xfId="0" applyNumberFormat="1" applyFont="1" applyFill="1" applyBorder="1" applyAlignment="1" applyProtection="1">
      <alignment horizontal="left" vertical="center" indent="1"/>
      <protection locked="0"/>
    </xf>
    <xf numFmtId="0" fontId="10" fillId="8" borderId="9" xfId="0" applyFont="1" applyFill="1" applyBorder="1" applyAlignment="1" applyProtection="1">
      <alignment horizontal="right" vertical="center" indent="1"/>
      <protection locked="0"/>
    </xf>
    <xf numFmtId="164" fontId="10" fillId="8" borderId="9" xfId="0" applyNumberFormat="1" applyFont="1" applyFill="1" applyBorder="1" applyAlignment="1" applyProtection="1">
      <alignment horizontal="left" vertical="center" indent="1"/>
      <protection locked="0"/>
    </xf>
    <xf numFmtId="0" fontId="0" fillId="10" borderId="4" xfId="0" applyFill="1" applyBorder="1" applyAlignment="1">
      <alignment horizontal="center"/>
    </xf>
    <xf numFmtId="165" fontId="0" fillId="10" borderId="4" xfId="0" applyNumberFormat="1" applyFill="1" applyBorder="1" applyAlignment="1">
      <alignment horizontal="center"/>
    </xf>
    <xf numFmtId="166" fontId="13" fillId="10" borderId="4" xfId="0" applyNumberFormat="1" applyFont="1" applyFill="1" applyBorder="1" applyAlignment="1">
      <alignment horizontal="center"/>
    </xf>
    <xf numFmtId="167" fontId="15" fillId="2" borderId="4" xfId="0" applyNumberFormat="1" applyFont="1" applyFill="1" applyBorder="1"/>
    <xf numFmtId="166" fontId="16" fillId="2" borderId="4" xfId="0" applyNumberFormat="1" applyFont="1" applyFill="1" applyBorder="1"/>
    <xf numFmtId="0" fontId="0" fillId="11" borderId="0" xfId="0" applyFill="1" applyAlignment="1">
      <alignment horizontal="center"/>
    </xf>
    <xf numFmtId="168" fontId="0" fillId="0" borderId="0" xfId="0" applyNumberFormat="1"/>
    <xf numFmtId="168" fontId="17" fillId="0" borderId="10" xfId="0" applyNumberFormat="1" applyFont="1" applyBorder="1"/>
    <xf numFmtId="0" fontId="0" fillId="0" borderId="0" xfId="0" quotePrefix="1"/>
    <xf numFmtId="0" fontId="10" fillId="7" borderId="6" xfId="0" quotePrefix="1" applyFont="1" applyFill="1" applyBorder="1" applyAlignment="1" applyProtection="1">
      <alignment horizontal="right" vertical="center" indent="1"/>
      <protection locked="0"/>
    </xf>
    <xf numFmtId="0" fontId="10" fillId="8" borderId="9" xfId="0" quotePrefix="1" applyFont="1" applyFill="1" applyBorder="1" applyAlignment="1" applyProtection="1">
      <alignment horizontal="right" vertical="center" indent="1"/>
      <protection locked="0"/>
    </xf>
    <xf numFmtId="164" fontId="10" fillId="9" borderId="8" xfId="0" applyNumberFormat="1" applyFont="1" applyFill="1" applyBorder="1" applyAlignment="1" applyProtection="1">
      <alignment horizontal="left" vertical="center" indent="1"/>
      <protection locked="0"/>
    </xf>
    <xf numFmtId="0" fontId="10" fillId="9" borderId="8" xfId="0" applyFont="1" applyFill="1" applyBorder="1" applyAlignment="1" applyProtection="1">
      <alignment horizontal="right" vertical="center" indent="1"/>
      <protection locked="0"/>
    </xf>
    <xf numFmtId="0" fontId="10" fillId="9" borderId="8" xfId="0" quotePrefix="1" applyFont="1" applyFill="1" applyBorder="1" applyAlignment="1" applyProtection="1">
      <alignment horizontal="right" vertical="center" indent="1"/>
      <protection locked="0"/>
    </xf>
    <xf numFmtId="0" fontId="4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 vertical="top" wrapText="1" inden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top" wrapText="1" indent="1"/>
    </xf>
    <xf numFmtId="0" fontId="4" fillId="3" borderId="0" xfId="0" applyFont="1" applyFill="1" applyAlignment="1" applyProtection="1">
      <alignment horizontal="left" indent="1"/>
      <protection locked="0"/>
    </xf>
    <xf numFmtId="0" fontId="5" fillId="3" borderId="0" xfId="0" applyFont="1" applyFill="1" applyAlignment="1" applyProtection="1">
      <alignment horizontal="left" vertical="top" wrapText="1" indent="1"/>
      <protection locked="0"/>
    </xf>
    <xf numFmtId="0" fontId="8" fillId="3" borderId="0" xfId="0" applyFont="1" applyFill="1" applyAlignment="1" applyProtection="1">
      <alignment horizontal="left" vertical="center" wrapText="1" indent="1"/>
      <protection locked="0"/>
    </xf>
    <xf numFmtId="0" fontId="2" fillId="3" borderId="0" xfId="0" applyFont="1" applyFill="1" applyAlignment="1" applyProtection="1">
      <alignment horizontal="left" vertical="center" indent="1"/>
    </xf>
    <xf numFmtId="0" fontId="9" fillId="4" borderId="2" xfId="0" applyFont="1" applyFill="1" applyBorder="1" applyAlignment="1" applyProtection="1">
      <alignment horizontal="center" vertical="center"/>
    </xf>
    <xf numFmtId="0" fontId="9" fillId="4" borderId="3" xfId="0" applyFont="1" applyFill="1" applyBorder="1" applyAlignment="1" applyProtection="1">
      <alignment horizontal="center" vertical="center"/>
    </xf>
    <xf numFmtId="0" fontId="11" fillId="2" borderId="0" xfId="0" applyFont="1" applyFill="1" applyAlignment="1" applyProtection="1">
      <alignment horizontal="left" indent="1"/>
    </xf>
    <xf numFmtId="0" fontId="11" fillId="2" borderId="7" xfId="0" applyFont="1" applyFill="1" applyBorder="1" applyAlignment="1" applyProtection="1">
      <alignment horizontal="left" indent="1"/>
    </xf>
    <xf numFmtId="2" fontId="16" fillId="2" borderId="4" xfId="0" applyNumberFormat="1" applyFont="1" applyFill="1" applyBorder="1"/>
    <xf numFmtId="165" fontId="15" fillId="2" borderId="4" xfId="0" applyNumberFormat="1" applyFont="1" applyFill="1" applyBorder="1"/>
  </cellXfs>
  <cellStyles count="1">
    <cellStyle name="Normál" xfId="0" builtinId="0"/>
  </cellStyles>
  <dxfs count="27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charset val="238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53973CE5-F00A-4517-A4E7-78F4B6410A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042475770828962E-2"/>
          <c:y val="4.1479616575224268E-2"/>
          <c:w val="0.89246874941808951"/>
          <c:h val="0.90671503623421867"/>
        </c:manualLayout>
      </c:layout>
      <c:scatterChart>
        <c:scatterStyle val="smoothMarker"/>
        <c:varyColors val="0"/>
        <c:ser>
          <c:idx val="0"/>
          <c:order val="0"/>
          <c:tx>
            <c:v>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MHU!$A$2:$A$31</c:f>
              <c:numCache>
                <c:formatCode>0" mV"</c:formatCode>
                <c:ptCount val="30"/>
                <c:pt idx="0">
                  <c:v>1464</c:v>
                </c:pt>
                <c:pt idx="1">
                  <c:v>1464</c:v>
                </c:pt>
                <c:pt idx="2">
                  <c:v>1465</c:v>
                </c:pt>
                <c:pt idx="3">
                  <c:v>1465</c:v>
                </c:pt>
                <c:pt idx="4">
                  <c:v>1463</c:v>
                </c:pt>
                <c:pt idx="5">
                  <c:v>1464</c:v>
                </c:pt>
                <c:pt idx="6">
                  <c:v>1463</c:v>
                </c:pt>
                <c:pt idx="7">
                  <c:v>1461</c:v>
                </c:pt>
                <c:pt idx="8">
                  <c:v>1458</c:v>
                </c:pt>
                <c:pt idx="9">
                  <c:v>1457</c:v>
                </c:pt>
                <c:pt idx="10">
                  <c:v>1448</c:v>
                </c:pt>
                <c:pt idx="11">
                  <c:v>1443</c:v>
                </c:pt>
                <c:pt idx="12">
                  <c:v>1393</c:v>
                </c:pt>
                <c:pt idx="13">
                  <c:v>1246</c:v>
                </c:pt>
                <c:pt idx="14">
                  <c:v>789</c:v>
                </c:pt>
                <c:pt idx="15">
                  <c:v>373</c:v>
                </c:pt>
                <c:pt idx="16">
                  <c:v>339</c:v>
                </c:pt>
                <c:pt idx="17">
                  <c:v>311</c:v>
                </c:pt>
                <c:pt idx="18">
                  <c:v>262</c:v>
                </c:pt>
                <c:pt idx="19">
                  <c:v>240</c:v>
                </c:pt>
                <c:pt idx="20">
                  <c:v>209</c:v>
                </c:pt>
                <c:pt idx="21">
                  <c:v>197</c:v>
                </c:pt>
                <c:pt idx="22">
                  <c:v>187</c:v>
                </c:pt>
                <c:pt idx="23">
                  <c:v>173</c:v>
                </c:pt>
                <c:pt idx="24">
                  <c:v>167</c:v>
                </c:pt>
                <c:pt idx="25">
                  <c:v>162</c:v>
                </c:pt>
                <c:pt idx="26">
                  <c:v>153</c:v>
                </c:pt>
                <c:pt idx="27">
                  <c:v>148</c:v>
                </c:pt>
                <c:pt idx="28">
                  <c:v>142</c:v>
                </c:pt>
                <c:pt idx="29">
                  <c:v>139</c:v>
                </c:pt>
              </c:numCache>
            </c:numRef>
          </c:xVal>
          <c:yVal>
            <c:numRef>
              <c:f>MHU!$B$2:$B$31</c:f>
              <c:numCache>
                <c:formatCode>General</c:formatCode>
                <c:ptCount val="30"/>
                <c:pt idx="0">
                  <c:v>0</c:v>
                </c:pt>
                <c:pt idx="1">
                  <c:v>4.0000000000000001E-3</c:v>
                </c:pt>
                <c:pt idx="2">
                  <c:v>3.5999999999999997E-2</c:v>
                </c:pt>
                <c:pt idx="3">
                  <c:v>4.9000000000000002E-2</c:v>
                </c:pt>
                <c:pt idx="4">
                  <c:v>0.122</c:v>
                </c:pt>
                <c:pt idx="5">
                  <c:v>0.21</c:v>
                </c:pt>
                <c:pt idx="6">
                  <c:v>0.34799999999999998</c:v>
                </c:pt>
                <c:pt idx="7">
                  <c:v>0.85699999999999998</c:v>
                </c:pt>
                <c:pt idx="8">
                  <c:v>1.3</c:v>
                </c:pt>
                <c:pt idx="9">
                  <c:v>1.919</c:v>
                </c:pt>
                <c:pt idx="10">
                  <c:v>3.798</c:v>
                </c:pt>
                <c:pt idx="11">
                  <c:v>5.0490000000000004</c:v>
                </c:pt>
                <c:pt idx="12">
                  <c:v>7.88</c:v>
                </c:pt>
                <c:pt idx="13">
                  <c:v>8.8829999999999991</c:v>
                </c:pt>
                <c:pt idx="14">
                  <c:v>8.0310000000000006</c:v>
                </c:pt>
                <c:pt idx="15">
                  <c:v>6.6449999999999996</c:v>
                </c:pt>
                <c:pt idx="16">
                  <c:v>6.5460000000000003</c:v>
                </c:pt>
                <c:pt idx="17">
                  <c:v>6.4850000000000003</c:v>
                </c:pt>
                <c:pt idx="18">
                  <c:v>6.415</c:v>
                </c:pt>
                <c:pt idx="19">
                  <c:v>6.3959999999999999</c:v>
                </c:pt>
                <c:pt idx="20">
                  <c:v>6.37</c:v>
                </c:pt>
                <c:pt idx="21">
                  <c:v>6.37</c:v>
                </c:pt>
                <c:pt idx="22">
                  <c:v>6.3630000000000004</c:v>
                </c:pt>
                <c:pt idx="23">
                  <c:v>6.3630000000000004</c:v>
                </c:pt>
                <c:pt idx="24">
                  <c:v>6.3639999999999999</c:v>
                </c:pt>
                <c:pt idx="25">
                  <c:v>6.3620000000000001</c:v>
                </c:pt>
                <c:pt idx="26">
                  <c:v>6.3659999999999997</c:v>
                </c:pt>
                <c:pt idx="27">
                  <c:v>6.3659999999999997</c:v>
                </c:pt>
                <c:pt idx="28">
                  <c:v>6.3689999999999998</c:v>
                </c:pt>
                <c:pt idx="29">
                  <c:v>6.3780000000000001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0F-45AD-8D43-7CBFC5FA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00760"/>
        <c:axId val="365602400"/>
      </c:scatterChart>
      <c:scatterChart>
        <c:scatterStyle val="smoothMarker"/>
        <c:varyColors val="0"/>
        <c:ser>
          <c:idx val="1"/>
          <c:order val="1"/>
          <c:tx>
            <c:v>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MHU!$A$2:$A$31</c:f>
              <c:numCache>
                <c:formatCode>0" mV"</c:formatCode>
                <c:ptCount val="30"/>
                <c:pt idx="0">
                  <c:v>1464</c:v>
                </c:pt>
                <c:pt idx="1">
                  <c:v>1464</c:v>
                </c:pt>
                <c:pt idx="2">
                  <c:v>1465</c:v>
                </c:pt>
                <c:pt idx="3">
                  <c:v>1465</c:v>
                </c:pt>
                <c:pt idx="4">
                  <c:v>1463</c:v>
                </c:pt>
                <c:pt idx="5">
                  <c:v>1464</c:v>
                </c:pt>
                <c:pt idx="6">
                  <c:v>1463</c:v>
                </c:pt>
                <c:pt idx="7">
                  <c:v>1461</c:v>
                </c:pt>
                <c:pt idx="8">
                  <c:v>1458</c:v>
                </c:pt>
                <c:pt idx="9">
                  <c:v>1457</c:v>
                </c:pt>
                <c:pt idx="10">
                  <c:v>1448</c:v>
                </c:pt>
                <c:pt idx="11">
                  <c:v>1443</c:v>
                </c:pt>
                <c:pt idx="12">
                  <c:v>1393</c:v>
                </c:pt>
                <c:pt idx="13">
                  <c:v>1246</c:v>
                </c:pt>
                <c:pt idx="14">
                  <c:v>789</c:v>
                </c:pt>
                <c:pt idx="15">
                  <c:v>373</c:v>
                </c:pt>
                <c:pt idx="16">
                  <c:v>339</c:v>
                </c:pt>
                <c:pt idx="17">
                  <c:v>311</c:v>
                </c:pt>
                <c:pt idx="18">
                  <c:v>262</c:v>
                </c:pt>
                <c:pt idx="19">
                  <c:v>240</c:v>
                </c:pt>
                <c:pt idx="20">
                  <c:v>209</c:v>
                </c:pt>
                <c:pt idx="21">
                  <c:v>197</c:v>
                </c:pt>
                <c:pt idx="22">
                  <c:v>187</c:v>
                </c:pt>
                <c:pt idx="23">
                  <c:v>173</c:v>
                </c:pt>
                <c:pt idx="24">
                  <c:v>167</c:v>
                </c:pt>
                <c:pt idx="25">
                  <c:v>162</c:v>
                </c:pt>
                <c:pt idx="26">
                  <c:v>153</c:v>
                </c:pt>
                <c:pt idx="27">
                  <c:v>148</c:v>
                </c:pt>
                <c:pt idx="28">
                  <c:v>142</c:v>
                </c:pt>
                <c:pt idx="29">
                  <c:v>139</c:v>
                </c:pt>
              </c:numCache>
            </c:numRef>
          </c:xVal>
          <c:yVal>
            <c:numRef>
              <c:f>MHU!$D$2:$D$31</c:f>
              <c:numCache>
                <c:formatCode>General</c:formatCode>
                <c:ptCount val="30"/>
                <c:pt idx="0">
                  <c:v>0</c:v>
                </c:pt>
                <c:pt idx="1">
                  <c:v>5.8560000000000001E-3</c:v>
                </c:pt>
                <c:pt idx="2">
                  <c:v>5.2740000000000002E-2</c:v>
                </c:pt>
                <c:pt idx="3">
                  <c:v>7.1785000000000002E-2</c:v>
                </c:pt>
                <c:pt idx="4">
                  <c:v>0.17848600000000001</c:v>
                </c:pt>
                <c:pt idx="5">
                  <c:v>0.30743999999999999</c:v>
                </c:pt>
                <c:pt idx="6">
                  <c:v>0.50912400000000002</c:v>
                </c:pt>
                <c:pt idx="7">
                  <c:v>1.2520770000000001</c:v>
                </c:pt>
                <c:pt idx="8">
                  <c:v>1.8954</c:v>
                </c:pt>
                <c:pt idx="9">
                  <c:v>2.7959830000000001</c:v>
                </c:pt>
                <c:pt idx="10">
                  <c:v>5.4995039999999999</c:v>
                </c:pt>
                <c:pt idx="11">
                  <c:v>7.2857070000000013</c:v>
                </c:pt>
                <c:pt idx="12">
                  <c:v>10.976839999999999</c:v>
                </c:pt>
                <c:pt idx="13">
                  <c:v>11.068217999999998</c:v>
                </c:pt>
                <c:pt idx="14">
                  <c:v>6.3364590000000005</c:v>
                </c:pt>
                <c:pt idx="15">
                  <c:v>2.4785849999999998</c:v>
                </c:pt>
                <c:pt idx="16">
                  <c:v>2.2190940000000001</c:v>
                </c:pt>
                <c:pt idx="17">
                  <c:v>2.0168349999999999</c:v>
                </c:pt>
                <c:pt idx="18">
                  <c:v>1.6807300000000001</c:v>
                </c:pt>
                <c:pt idx="19">
                  <c:v>1.53504</c:v>
                </c:pt>
                <c:pt idx="20">
                  <c:v>1.3313299999999999</c:v>
                </c:pt>
                <c:pt idx="21">
                  <c:v>1.2548900000000001</c:v>
                </c:pt>
                <c:pt idx="22">
                  <c:v>1.1898810000000002</c:v>
                </c:pt>
                <c:pt idx="23">
                  <c:v>1.1007990000000001</c:v>
                </c:pt>
                <c:pt idx="24">
                  <c:v>1.0627880000000001</c:v>
                </c:pt>
                <c:pt idx="25">
                  <c:v>1.0306440000000001</c:v>
                </c:pt>
                <c:pt idx="26">
                  <c:v>0.97399799999999992</c:v>
                </c:pt>
                <c:pt idx="27">
                  <c:v>0.94216799999999989</c:v>
                </c:pt>
                <c:pt idx="28">
                  <c:v>0.90439800000000004</c:v>
                </c:pt>
                <c:pt idx="29">
                  <c:v>0.88654200000000005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0F-45AD-8D43-7CBFC5FA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404512"/>
        <c:axId val="789400248"/>
      </c:scatterChart>
      <c:valAx>
        <c:axId val="365600760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mV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65602400"/>
        <c:crosses val="autoZero"/>
        <c:crossBetween val="midCat"/>
      </c:valAx>
      <c:valAx>
        <c:axId val="36560240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&quot; mA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65600760"/>
        <c:crossesAt val="0"/>
        <c:crossBetween val="midCat"/>
      </c:valAx>
      <c:valAx>
        <c:axId val="789400248"/>
        <c:scaling>
          <c:orientation val="minMax"/>
          <c:max val="12"/>
          <c:min val="0"/>
        </c:scaling>
        <c:delete val="0"/>
        <c:axPos val="r"/>
        <c:numFmt formatCode="0&quot; mW&quot;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89404512"/>
        <c:crosses val="max"/>
        <c:crossBetween val="midCat"/>
      </c:valAx>
      <c:valAx>
        <c:axId val="789404512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&quot; mV&quot;" sourceLinked="1"/>
        <c:majorTickMark val="out"/>
        <c:minorTickMark val="none"/>
        <c:tickLblPos val="nextTo"/>
        <c:crossAx val="789400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</xdr:row>
      <xdr:rowOff>65556</xdr:rowOff>
    </xdr:from>
    <xdr:to>
      <xdr:col>26</xdr:col>
      <xdr:colOff>123825</xdr:colOff>
      <xdr:row>30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D3F7CCD-15ED-42AA-A774-D1C750CCA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5" name="Téglalap 4">
          <a:extLst>
            <a:ext uri="{FF2B5EF4-FFF2-40B4-BE49-F238E27FC236}">
              <a16:creationId xmlns:a16="http://schemas.microsoft.com/office/drawing/2014/main" id="{C0F0E053-6244-0F34-126F-65760C57F8BE}"/>
            </a:ext>
          </a:extLst>
        </xdr:cNvPr>
        <xdr:cNvSpPr/>
      </xdr:nvSpPr>
      <xdr:spPr>
        <a:xfrm>
          <a:off x="8124825" y="2066925"/>
          <a:ext cx="590550" cy="24765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hu-HU" sz="1100">
              <a:solidFill>
                <a:srgbClr val="000000"/>
              </a:solidFill>
            </a:rPr>
            <a:t>◀ Legújabbak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1B36D-F598-4FA5-9E92-C20345A2EA91}" name="TBL_CUR" displayName="TBL_CUR" ref="A4:K5" totalsRowShown="0" headerRowDxfId="25" dataDxfId="23">
  <autoFilter ref="A4:K5" xr:uid="{3811B36D-F598-4FA5-9E92-C20345A2EA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8" xr3:uid="{5F3D1C09-1E1C-4389-A1BE-0CA8420873BC}" name="TIME" dataDxfId="12"/>
    <tableColumn id="9" xr3:uid="{7F2796FE-FF90-490B-A2A2-84F21AD759BE}" name="CH1" dataDxfId="13"/>
    <tableColumn id="10" xr3:uid="{9A3FB01A-355E-4CC3-9842-3D03371090F2}" name="CH2" dataDxfId="22"/>
    <tableColumn id="11" xr3:uid="{21E334F1-8FE5-4652-BCF4-BDD2EBE020D0}" name="CH3" dataDxfId="21"/>
    <tableColumn id="1" xr3:uid="{AA884459-AAC2-41E6-9DD7-F2AFB2A62D12}" name="CH4" dataDxfId="20"/>
    <tableColumn id="2" xr3:uid="{6756848B-831A-4CB0-853F-F7723AEDC3C3}" name="CH5" dataDxfId="19"/>
    <tableColumn id="3" xr3:uid="{CBD6CCE0-F5C1-4660-B55E-4DA5B54E87D5}" name="CH6" dataDxfId="18"/>
    <tableColumn id="4" xr3:uid="{C8B40813-DA2C-4ECA-BC62-2486907608BD}" name="CH7" dataDxfId="17"/>
    <tableColumn id="5" xr3:uid="{2AEF53A1-2338-46AF-94DD-0ED3B86A2915}" name="CH8" dataDxfId="16"/>
    <tableColumn id="6" xr3:uid="{06C50B2A-32C3-4283-B6EC-CF8168588E99}" name="CH9" dataDxfId="15"/>
    <tableColumn id="7" xr3:uid="{D1C66655-E76D-4D9E-9D14-6ADC73424D9F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2EB1FD-D632-4453-B3CE-62617D0FFEEA}" name="TBL_HST" displayName="TBL_HST" ref="A7:K37" totalsRowShown="0" headerRowDxfId="24" dataDxfId="11">
  <autoFilter ref="A7:K37" xr:uid="{572EB1FD-D632-4453-B3CE-62617D0FFE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8" xr3:uid="{F0EA7FDB-3A4E-48B3-9C1F-C016E5D295C6}" name="TIME" dataDxfId="0"/>
    <tableColumn id="9" xr3:uid="{24158BCC-19D3-44CC-9927-420EE480C788}" name="CH1" dataDxfId="1"/>
    <tableColumn id="10" xr3:uid="{C0F1D0EC-3786-4BD6-A563-52E3184CA922}" name="CH2" dataDxfId="10"/>
    <tableColumn id="11" xr3:uid="{4236BDA2-085D-438C-8C8D-F734D83DB4A2}" name="CH3" dataDxfId="9"/>
    <tableColumn id="1" xr3:uid="{1620C5AD-E4E3-4A73-8063-B35E613D3CC3}" name="CH4" dataDxfId="8"/>
    <tableColumn id="2" xr3:uid="{D7EF413F-CC3C-48DE-A117-1B1FB9F73DD4}" name="CH5" dataDxfId="7"/>
    <tableColumn id="3" xr3:uid="{2E23884E-B175-448C-8108-071C970631E6}" name="CH6" dataDxfId="6"/>
    <tableColumn id="4" xr3:uid="{276F84D4-165A-46FF-9F0D-D262C09E9413}" name="CH7" dataDxfId="5"/>
    <tableColumn id="5" xr3:uid="{E2A2C09F-F6B3-4A18-89D5-D610307D5F57}" name="CH8" dataDxfId="4"/>
    <tableColumn id="6" xr3:uid="{5D64B10D-D670-4198-90C1-D7628244AEC5}" name="CH9" dataDxfId="3"/>
    <tableColumn id="7" xr3:uid="{7FE7A89D-1FD3-4C1D-940A-F87827D1D746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CE17-E1C5-499A-9F6B-E985F6F0686A}">
  <dimension ref="A1:J34"/>
  <sheetViews>
    <sheetView tabSelected="1" zoomScaleNormal="100" workbookViewId="0">
      <selection activeCell="E2" sqref="E2"/>
    </sheetView>
  </sheetViews>
  <sheetFormatPr defaultRowHeight="15" x14ac:dyDescent="0.25"/>
  <cols>
    <col min="4" max="4" width="12.7109375" bestFit="1" customWidth="1"/>
  </cols>
  <sheetData>
    <row r="1" spans="1:10" ht="18" x14ac:dyDescent="0.35">
      <c r="A1" s="11" t="s">
        <v>24</v>
      </c>
      <c r="B1" s="12" t="s">
        <v>25</v>
      </c>
      <c r="C1" s="13" t="s">
        <v>30</v>
      </c>
      <c r="D1" s="11" t="s">
        <v>26</v>
      </c>
      <c r="E1" s="16" t="s">
        <v>29</v>
      </c>
      <c r="F1" s="19" t="s">
        <v>27</v>
      </c>
    </row>
    <row r="2" spans="1:10" x14ac:dyDescent="0.25">
      <c r="A2" s="14">
        <f>G2</f>
        <v>1464</v>
      </c>
      <c r="B2" s="38">
        <f>H2</f>
        <v>0</v>
      </c>
      <c r="C2" s="15">
        <f>'Bejövő adatok'!C8</f>
        <v>0.51600000000000001</v>
      </c>
      <c r="D2" s="18">
        <f>IF(LEN('Bejövő adatok'!D8)=0,"",0.001*A2*B2)</f>
        <v>0</v>
      </c>
      <c r="G2" s="37">
        <f>IF(LEN('Bejövő adatok'!D8)=0,"",'Bejövő adatok'!D8*1000)</f>
        <v>1464</v>
      </c>
      <c r="H2" s="37">
        <f>IF(LEN('Bejövő adatok'!E8)=0,"",'Bejövő adatok'!E8)</f>
        <v>0</v>
      </c>
      <c r="J2">
        <f>IF(LEN(G2)=0,"",G2)</f>
        <v>1464</v>
      </c>
    </row>
    <row r="3" spans="1:10" x14ac:dyDescent="0.25">
      <c r="A3" s="14">
        <f t="shared" ref="A3:A31" si="0">G3</f>
        <v>1464</v>
      </c>
      <c r="B3" s="38">
        <f t="shared" ref="B3:B31" si="1">H3</f>
        <v>4.0000000000000001E-3</v>
      </c>
      <c r="C3" s="15">
        <f>'Bejövő adatok'!C9</f>
        <v>0.53</v>
      </c>
      <c r="D3" s="18">
        <f>IF(LEN('Bejövő adatok'!D9)=0,"",0.001*A3*B3)</f>
        <v>5.8560000000000001E-3</v>
      </c>
      <c r="G3" s="37">
        <f>IF(LEN('Bejövő adatok'!D9)=0,"",'Bejövő adatok'!D9*1000)</f>
        <v>1464</v>
      </c>
      <c r="H3" s="37">
        <f>IF(LEN('Bejövő adatok'!E9)=0,"",'Bejövő adatok'!E9)</f>
        <v>4.0000000000000001E-3</v>
      </c>
    </row>
    <row r="4" spans="1:10" x14ac:dyDescent="0.25">
      <c r="A4" s="14">
        <f t="shared" si="0"/>
        <v>1465</v>
      </c>
      <c r="B4" s="38">
        <f t="shared" si="1"/>
        <v>3.5999999999999997E-2</v>
      </c>
      <c r="C4" s="15">
        <f>'Bejövő adatok'!C10</f>
        <v>0.55500000000000005</v>
      </c>
      <c r="D4" s="18">
        <f>IF(LEN('Bejövő adatok'!D10)=0,"",0.001*A4*B4)</f>
        <v>5.2740000000000002E-2</v>
      </c>
      <c r="G4" s="37">
        <f>IF(LEN('Bejövő adatok'!D10)=0,"",'Bejövő adatok'!D10*1000)</f>
        <v>1465</v>
      </c>
      <c r="H4" s="37">
        <f>IF(LEN('Bejövő adatok'!E10)=0,"",'Bejövő adatok'!E10)</f>
        <v>3.5999999999999997E-2</v>
      </c>
    </row>
    <row r="5" spans="1:10" x14ac:dyDescent="0.25">
      <c r="A5" s="14">
        <f t="shared" si="0"/>
        <v>1465</v>
      </c>
      <c r="B5" s="38">
        <f t="shared" si="1"/>
        <v>4.9000000000000002E-2</v>
      </c>
      <c r="C5" s="15">
        <f>'Bejövő adatok'!C11</f>
        <v>0.56699999999999995</v>
      </c>
      <c r="D5" s="18">
        <f>IF(LEN('Bejövő adatok'!D11)=0,"",0.001*A5*B5)</f>
        <v>7.1785000000000002E-2</v>
      </c>
      <c r="G5" s="37">
        <f>IF(LEN('Bejövő adatok'!D11)=0,"",'Bejövő adatok'!D11*1000)</f>
        <v>1465</v>
      </c>
      <c r="H5" s="37">
        <f>IF(LEN('Bejövő adatok'!E11)=0,"",'Bejövő adatok'!E11)</f>
        <v>4.9000000000000002E-2</v>
      </c>
    </row>
    <row r="6" spans="1:10" x14ac:dyDescent="0.25">
      <c r="A6" s="14">
        <f t="shared" si="0"/>
        <v>1463</v>
      </c>
      <c r="B6" s="38">
        <f t="shared" si="1"/>
        <v>0.122</v>
      </c>
      <c r="C6" s="15">
        <f>'Bejövő adatok'!C12</f>
        <v>0.59199999999999997</v>
      </c>
      <c r="D6" s="18">
        <f>IF(LEN('Bejövő adatok'!D12)=0,"",0.001*A6*B6)</f>
        <v>0.17848600000000001</v>
      </c>
      <c r="G6" s="37">
        <f>IF(LEN('Bejövő adatok'!D12)=0,"",'Bejövő adatok'!D12*1000)</f>
        <v>1463</v>
      </c>
      <c r="H6" s="37">
        <f>IF(LEN('Bejövő adatok'!E12)=0,"",'Bejövő adatok'!E12)</f>
        <v>0.122</v>
      </c>
    </row>
    <row r="7" spans="1:10" x14ac:dyDescent="0.25">
      <c r="A7" s="14">
        <f t="shared" si="0"/>
        <v>1464</v>
      </c>
      <c r="B7" s="38">
        <f t="shared" si="1"/>
        <v>0.21</v>
      </c>
      <c r="C7" s="15">
        <f>'Bejövő adatok'!C13</f>
        <v>0.60399999999999998</v>
      </c>
      <c r="D7" s="18">
        <f>IF(LEN('Bejövő adatok'!D13)=0,"",0.001*A7*B7)</f>
        <v>0.30743999999999999</v>
      </c>
      <c r="G7" s="37">
        <f>IF(LEN('Bejövő adatok'!D13)=0,"",'Bejövő adatok'!D13*1000)</f>
        <v>1464</v>
      </c>
      <c r="H7" s="37">
        <f>IF(LEN('Bejövő adatok'!E13)=0,"",'Bejövő adatok'!E13)</f>
        <v>0.21</v>
      </c>
    </row>
    <row r="8" spans="1:10" x14ac:dyDescent="0.25">
      <c r="A8" s="14">
        <f t="shared" si="0"/>
        <v>1463</v>
      </c>
      <c r="B8" s="38">
        <f t="shared" si="1"/>
        <v>0.34799999999999998</v>
      </c>
      <c r="C8" s="15">
        <f>'Bejövő adatok'!C14</f>
        <v>0.61699999999999999</v>
      </c>
      <c r="D8" s="18">
        <f>IF(LEN('Bejövő adatok'!D14)=0,"",0.001*A8*B8)</f>
        <v>0.50912400000000002</v>
      </c>
      <c r="G8" s="37">
        <f>IF(LEN('Bejövő adatok'!D14)=0,"",'Bejövő adatok'!D14*1000)</f>
        <v>1463</v>
      </c>
      <c r="H8" s="37">
        <f>IF(LEN('Bejövő adatok'!E14)=0,"",'Bejövő adatok'!E14)</f>
        <v>0.34799999999999998</v>
      </c>
    </row>
    <row r="9" spans="1:10" x14ac:dyDescent="0.25">
      <c r="A9" s="14">
        <f t="shared" si="0"/>
        <v>1461</v>
      </c>
      <c r="B9" s="38">
        <f t="shared" si="1"/>
        <v>0.85699999999999998</v>
      </c>
      <c r="C9" s="15">
        <f>'Bejövő adatok'!C15</f>
        <v>0.64</v>
      </c>
      <c r="D9" s="18">
        <f>IF(LEN('Bejövő adatok'!D15)=0,"",0.001*A9*B9)</f>
        <v>1.2520770000000001</v>
      </c>
      <c r="G9" s="37">
        <f>IF(LEN('Bejövő adatok'!D15)=0,"",'Bejövő adatok'!D15*1000)</f>
        <v>1461</v>
      </c>
      <c r="H9" s="37">
        <f>IF(LEN('Bejövő adatok'!E15)=0,"",'Bejövő adatok'!E15)</f>
        <v>0.85699999999999998</v>
      </c>
    </row>
    <row r="10" spans="1:10" x14ac:dyDescent="0.25">
      <c r="A10" s="14">
        <f t="shared" si="0"/>
        <v>1458</v>
      </c>
      <c r="B10" s="38">
        <f t="shared" si="1"/>
        <v>1.3</v>
      </c>
      <c r="C10" s="15">
        <f>'Bejövő adatok'!C16</f>
        <v>0.65100000000000002</v>
      </c>
      <c r="D10" s="18">
        <f>IF(LEN('Bejövő adatok'!D16)=0,"",0.001*A10*B10)</f>
        <v>1.8954</v>
      </c>
      <c r="G10" s="37">
        <f>IF(LEN('Bejövő adatok'!D16)=0,"",'Bejövő adatok'!D16*1000)</f>
        <v>1458</v>
      </c>
      <c r="H10" s="37">
        <f>IF(LEN('Bejövő adatok'!E16)=0,"",'Bejövő adatok'!E16)</f>
        <v>1.3</v>
      </c>
    </row>
    <row r="11" spans="1:10" x14ac:dyDescent="0.25">
      <c r="A11" s="14">
        <f t="shared" si="0"/>
        <v>1457</v>
      </c>
      <c r="B11" s="38">
        <f t="shared" si="1"/>
        <v>1.919</v>
      </c>
      <c r="C11" s="15">
        <f>'Bejövő adatok'!C17</f>
        <v>0.66200000000000003</v>
      </c>
      <c r="D11" s="18">
        <f>IF(LEN('Bejövő adatok'!D17)=0,"",0.001*A11*B11)</f>
        <v>2.7959830000000001</v>
      </c>
      <c r="G11" s="37">
        <f>IF(LEN('Bejövő adatok'!D17)=0,"",'Bejövő adatok'!D17*1000)</f>
        <v>1457</v>
      </c>
      <c r="H11" s="37">
        <f>IF(LEN('Bejövő adatok'!E17)=0,"",'Bejövő adatok'!E17)</f>
        <v>1.919</v>
      </c>
    </row>
    <row r="12" spans="1:10" x14ac:dyDescent="0.25">
      <c r="A12" s="14">
        <f t="shared" si="0"/>
        <v>1448</v>
      </c>
      <c r="B12" s="38">
        <f t="shared" si="1"/>
        <v>3.798</v>
      </c>
      <c r="C12" s="15">
        <f>'Bejövő adatok'!C18</f>
        <v>0.68100000000000005</v>
      </c>
      <c r="D12" s="18">
        <f>IF(LEN('Bejövő adatok'!D18)=0,"",0.001*A12*B12)</f>
        <v>5.4995039999999999</v>
      </c>
      <c r="G12" s="37">
        <f>IF(LEN('Bejövő adatok'!D18)=0,"",'Bejövő adatok'!D18*1000)</f>
        <v>1448</v>
      </c>
      <c r="H12" s="37">
        <f>IF(LEN('Bejövő adatok'!E18)=0,"",'Bejövő adatok'!E18)</f>
        <v>3.798</v>
      </c>
    </row>
    <row r="13" spans="1:10" x14ac:dyDescent="0.25">
      <c r="A13" s="14">
        <f t="shared" si="0"/>
        <v>1443</v>
      </c>
      <c r="B13" s="38">
        <f t="shared" si="1"/>
        <v>5.0490000000000004</v>
      </c>
      <c r="C13" s="15">
        <f>'Bejövő adatok'!C19</f>
        <v>0.68899999999999995</v>
      </c>
      <c r="D13" s="18">
        <f>IF(LEN('Bejövő adatok'!D19)=0,"",0.001*A13*B13)</f>
        <v>7.2857070000000013</v>
      </c>
      <c r="G13" s="37">
        <f>IF(LEN('Bejövő adatok'!D19)=0,"",'Bejövő adatok'!D19*1000)</f>
        <v>1443</v>
      </c>
      <c r="H13" s="37">
        <f>IF(LEN('Bejövő adatok'!E19)=0,"",'Bejövő adatok'!E19)</f>
        <v>5.0490000000000004</v>
      </c>
    </row>
    <row r="14" spans="1:10" x14ac:dyDescent="0.25">
      <c r="A14" s="14">
        <f t="shared" si="0"/>
        <v>1393</v>
      </c>
      <c r="B14" s="38">
        <f t="shared" si="1"/>
        <v>7.88</v>
      </c>
      <c r="C14" s="15">
        <f>'Bejövő adatok'!C20</f>
        <v>0.70199999999999996</v>
      </c>
      <c r="D14" s="18">
        <f>IF(LEN('Bejövő adatok'!D20)=0,"",0.001*A14*B14)</f>
        <v>10.976839999999999</v>
      </c>
      <c r="G14" s="37">
        <f>IF(LEN('Bejövő adatok'!D20)=0,"",'Bejövő adatok'!D20*1000)</f>
        <v>1393</v>
      </c>
      <c r="H14" s="37">
        <f>IF(LEN('Bejövő adatok'!E20)=0,"",'Bejövő adatok'!E20)</f>
        <v>7.88</v>
      </c>
    </row>
    <row r="15" spans="1:10" x14ac:dyDescent="0.25">
      <c r="A15" s="14">
        <f t="shared" si="0"/>
        <v>1246</v>
      </c>
      <c r="B15" s="38">
        <f t="shared" si="1"/>
        <v>8.8829999999999991</v>
      </c>
      <c r="C15" s="15">
        <f>'Bejövő adatok'!C21</f>
        <v>0.70799999999999996</v>
      </c>
      <c r="D15" s="18">
        <f>IF(LEN('Bejövő adatok'!D21)=0,"",0.001*A15*B15)</f>
        <v>11.068217999999998</v>
      </c>
      <c r="G15" s="37">
        <f>IF(LEN('Bejövő adatok'!D21)=0,"",'Bejövő adatok'!D21*1000)</f>
        <v>1246</v>
      </c>
      <c r="H15" s="37">
        <f>IF(LEN('Bejövő adatok'!E21)=0,"",'Bejövő adatok'!E21)</f>
        <v>8.8829999999999991</v>
      </c>
    </row>
    <row r="16" spans="1:10" x14ac:dyDescent="0.25">
      <c r="A16" s="14">
        <f t="shared" si="0"/>
        <v>789</v>
      </c>
      <c r="B16" s="38">
        <f t="shared" si="1"/>
        <v>8.0310000000000006</v>
      </c>
      <c r="C16" s="15">
        <f>'Bejövő adatok'!C22</f>
        <v>0.71499999999999997</v>
      </c>
      <c r="D16" s="18">
        <f>IF(LEN('Bejövő adatok'!D22)=0,"",0.001*A16*B16)</f>
        <v>6.3364590000000005</v>
      </c>
      <c r="G16" s="37">
        <f>IF(LEN('Bejövő adatok'!D22)=0,"",'Bejövő adatok'!D22*1000)</f>
        <v>789</v>
      </c>
      <c r="H16" s="37">
        <f>IF(LEN('Bejövő adatok'!E22)=0,"",'Bejövő adatok'!E22)</f>
        <v>8.0310000000000006</v>
      </c>
    </row>
    <row r="17" spans="1:8" x14ac:dyDescent="0.25">
      <c r="A17" s="14">
        <f t="shared" si="0"/>
        <v>373</v>
      </c>
      <c r="B17" s="38">
        <f t="shared" si="1"/>
        <v>6.6449999999999996</v>
      </c>
      <c r="C17" s="15">
        <f>'Bejövő adatok'!C23</f>
        <v>0.72299999999999998</v>
      </c>
      <c r="D17" s="18">
        <f>IF(LEN('Bejövő adatok'!D23)=0,"",0.001*A17*B17)</f>
        <v>2.4785849999999998</v>
      </c>
      <c r="G17" s="37">
        <f>IF(LEN('Bejövő adatok'!D23)=0,"",'Bejövő adatok'!D23*1000)</f>
        <v>373</v>
      </c>
      <c r="H17" s="37">
        <f>IF(LEN('Bejövő adatok'!E23)=0,"",'Bejövő adatok'!E23)</f>
        <v>6.6449999999999996</v>
      </c>
    </row>
    <row r="18" spans="1:8" x14ac:dyDescent="0.25">
      <c r="A18" s="14">
        <f t="shared" si="0"/>
        <v>339</v>
      </c>
      <c r="B18" s="38">
        <f t="shared" si="1"/>
        <v>6.5460000000000003</v>
      </c>
      <c r="C18" s="15">
        <f>'Bejövő adatok'!C24</f>
        <v>0.72699999999999998</v>
      </c>
      <c r="D18" s="18">
        <f>IF(LEN('Bejövő adatok'!D24)=0,"",0.001*A18*B18)</f>
        <v>2.2190940000000001</v>
      </c>
      <c r="G18" s="37">
        <f>IF(LEN('Bejövő adatok'!D24)=0,"",'Bejövő adatok'!D24*1000)</f>
        <v>339</v>
      </c>
      <c r="H18" s="37">
        <f>IF(LEN('Bejövő adatok'!E24)=0,"",'Bejövő adatok'!E24)</f>
        <v>6.5460000000000003</v>
      </c>
    </row>
    <row r="19" spans="1:8" x14ac:dyDescent="0.25">
      <c r="A19" s="14">
        <f t="shared" si="0"/>
        <v>311</v>
      </c>
      <c r="B19" s="38">
        <f t="shared" si="1"/>
        <v>6.4850000000000003</v>
      </c>
      <c r="C19" s="15">
        <f>'Bejövő adatok'!C25</f>
        <v>0.73</v>
      </c>
      <c r="D19" s="18">
        <f>IF(LEN('Bejövő adatok'!D25)=0,"",0.001*A19*B19)</f>
        <v>2.0168349999999999</v>
      </c>
      <c r="G19" s="37">
        <f>IF(LEN('Bejövő adatok'!D25)=0,"",'Bejövő adatok'!D25*1000)</f>
        <v>311</v>
      </c>
      <c r="H19" s="37">
        <f>IF(LEN('Bejövő adatok'!E25)=0,"",'Bejövő adatok'!E25)</f>
        <v>6.4850000000000003</v>
      </c>
    </row>
    <row r="20" spans="1:8" x14ac:dyDescent="0.25">
      <c r="A20" s="14">
        <f t="shared" si="0"/>
        <v>262</v>
      </c>
      <c r="B20" s="38">
        <f t="shared" si="1"/>
        <v>6.415</v>
      </c>
      <c r="C20" s="15">
        <f>'Bejövő adatok'!C26</f>
        <v>0.73699999999999999</v>
      </c>
      <c r="D20" s="18">
        <f>IF(LEN('Bejövő adatok'!D26)=0,"",0.001*A20*B20)</f>
        <v>1.6807300000000001</v>
      </c>
      <c r="G20" s="37">
        <f>IF(LEN('Bejövő adatok'!D26)=0,"",'Bejövő adatok'!D26*1000)</f>
        <v>262</v>
      </c>
      <c r="H20" s="37">
        <f>IF(LEN('Bejövő adatok'!E26)=0,"",'Bejövő adatok'!E26)</f>
        <v>6.415</v>
      </c>
    </row>
    <row r="21" spans="1:8" x14ac:dyDescent="0.25">
      <c r="A21" s="14">
        <f t="shared" si="0"/>
        <v>240</v>
      </c>
      <c r="B21" s="38">
        <f t="shared" si="1"/>
        <v>6.3959999999999999</v>
      </c>
      <c r="C21" s="15">
        <f>'Bejövő adatok'!C27</f>
        <v>0.73899999999999999</v>
      </c>
      <c r="D21" s="18">
        <f>IF(LEN('Bejövő adatok'!D27)=0,"",0.001*A21*B21)</f>
        <v>1.53504</v>
      </c>
      <c r="G21" s="37">
        <f>IF(LEN('Bejövő adatok'!D27)=0,"",'Bejövő adatok'!D27*1000)</f>
        <v>240</v>
      </c>
      <c r="H21" s="37">
        <f>IF(LEN('Bejövő adatok'!E27)=0,"",'Bejövő adatok'!E27)</f>
        <v>6.3959999999999999</v>
      </c>
    </row>
    <row r="22" spans="1:8" x14ac:dyDescent="0.25">
      <c r="A22" s="14">
        <f t="shared" si="0"/>
        <v>209</v>
      </c>
      <c r="B22" s="38">
        <f t="shared" si="1"/>
        <v>6.37</v>
      </c>
      <c r="C22" s="15">
        <f>'Bejövő adatok'!C28</f>
        <v>0.74099999999999999</v>
      </c>
      <c r="D22" s="18">
        <f>IF(LEN('Bejövő adatok'!D28)=0,"",0.001*A22*B22)</f>
        <v>1.3313299999999999</v>
      </c>
      <c r="G22" s="37">
        <f>IF(LEN('Bejövő adatok'!D28)=0,"",'Bejövő adatok'!D28*1000)</f>
        <v>209</v>
      </c>
      <c r="H22" s="37">
        <f>IF(LEN('Bejövő adatok'!E28)=0,"",'Bejövő adatok'!E28)</f>
        <v>6.37</v>
      </c>
    </row>
    <row r="23" spans="1:8" x14ac:dyDescent="0.25">
      <c r="A23" s="14">
        <f t="shared" si="0"/>
        <v>197</v>
      </c>
      <c r="B23" s="38">
        <f t="shared" si="1"/>
        <v>6.37</v>
      </c>
      <c r="C23" s="15">
        <f>'Bejövő adatok'!C29</f>
        <v>0.74199999999999999</v>
      </c>
      <c r="D23" s="18">
        <f>IF(LEN('Bejövő adatok'!D29)=0,"",0.001*A23*B23)</f>
        <v>1.2548900000000001</v>
      </c>
      <c r="G23" s="37">
        <f>IF(LEN('Bejövő adatok'!D29)=0,"",'Bejövő adatok'!D29*1000)</f>
        <v>197</v>
      </c>
      <c r="H23" s="37">
        <f>IF(LEN('Bejövő adatok'!E29)=0,"",'Bejövő adatok'!E29)</f>
        <v>6.37</v>
      </c>
    </row>
    <row r="24" spans="1:8" x14ac:dyDescent="0.25">
      <c r="A24" s="14">
        <f t="shared" si="0"/>
        <v>187</v>
      </c>
      <c r="B24" s="38">
        <f t="shared" si="1"/>
        <v>6.3630000000000004</v>
      </c>
      <c r="C24" s="15">
        <f>'Bejövő adatok'!C30</f>
        <v>0.74299999999999999</v>
      </c>
      <c r="D24" s="18">
        <f>IF(LEN('Bejövő adatok'!D30)=0,"",0.001*A24*B24)</f>
        <v>1.1898810000000002</v>
      </c>
      <c r="G24" s="37">
        <f>IF(LEN('Bejövő adatok'!D30)=0,"",'Bejövő adatok'!D30*1000)</f>
        <v>187</v>
      </c>
      <c r="H24" s="37">
        <f>IF(LEN('Bejövő adatok'!E30)=0,"",'Bejövő adatok'!E30)</f>
        <v>6.3630000000000004</v>
      </c>
    </row>
    <row r="25" spans="1:8" x14ac:dyDescent="0.25">
      <c r="A25" s="14">
        <f t="shared" si="0"/>
        <v>173</v>
      </c>
      <c r="B25" s="38">
        <f t="shared" si="1"/>
        <v>6.3630000000000004</v>
      </c>
      <c r="C25" s="15">
        <f>'Bejövő adatok'!C31</f>
        <v>0.745</v>
      </c>
      <c r="D25" s="18">
        <f>IF(LEN('Bejövő adatok'!D31)=0,"",0.001*A25*B25)</f>
        <v>1.1007990000000001</v>
      </c>
      <c r="G25" s="37">
        <f>IF(LEN('Bejövő adatok'!D31)=0,"",'Bejövő adatok'!D31*1000)</f>
        <v>173</v>
      </c>
      <c r="H25" s="37">
        <f>IF(LEN('Bejövő adatok'!E31)=0,"",'Bejövő adatok'!E31)</f>
        <v>6.3630000000000004</v>
      </c>
    </row>
    <row r="26" spans="1:8" x14ac:dyDescent="0.25">
      <c r="A26" s="14">
        <f t="shared" si="0"/>
        <v>167</v>
      </c>
      <c r="B26" s="38">
        <f t="shared" si="1"/>
        <v>6.3639999999999999</v>
      </c>
      <c r="C26" s="15">
        <f>'Bejövő adatok'!C32</f>
        <v>0.746</v>
      </c>
      <c r="D26" s="18">
        <f>IF(LEN('Bejövő adatok'!D32)=0,"",0.001*A26*B26)</f>
        <v>1.0627880000000001</v>
      </c>
      <c r="G26" s="37">
        <f>IF(LEN('Bejövő adatok'!D32)=0,"",'Bejövő adatok'!D32*1000)</f>
        <v>167</v>
      </c>
      <c r="H26" s="37">
        <f>IF(LEN('Bejövő adatok'!E32)=0,"",'Bejövő adatok'!E32)</f>
        <v>6.3639999999999999</v>
      </c>
    </row>
    <row r="27" spans="1:8" x14ac:dyDescent="0.25">
      <c r="A27" s="14">
        <f t="shared" si="0"/>
        <v>162</v>
      </c>
      <c r="B27" s="38">
        <f t="shared" si="1"/>
        <v>6.3620000000000001</v>
      </c>
      <c r="C27" s="15">
        <f>'Bejövő adatok'!C33</f>
        <v>0.747</v>
      </c>
      <c r="D27" s="18">
        <f>IF(LEN('Bejövő adatok'!D33)=0,"",0.001*A27*B27)</f>
        <v>1.0306440000000001</v>
      </c>
      <c r="G27" s="37">
        <f>IF(LEN('Bejövő adatok'!D33)=0,"",'Bejövő adatok'!D33*1000)</f>
        <v>162</v>
      </c>
      <c r="H27" s="37">
        <f>IF(LEN('Bejövő adatok'!E33)=0,"",'Bejövő adatok'!E33)</f>
        <v>6.3620000000000001</v>
      </c>
    </row>
    <row r="28" spans="1:8" x14ac:dyDescent="0.25">
      <c r="A28" s="14">
        <f t="shared" si="0"/>
        <v>153</v>
      </c>
      <c r="B28" s="38">
        <f t="shared" si="1"/>
        <v>6.3659999999999997</v>
      </c>
      <c r="C28" s="15">
        <f>'Bejövő adatok'!C34</f>
        <v>0.748</v>
      </c>
      <c r="D28" s="18">
        <f>IF(LEN('Bejövő adatok'!D34)=0,"",0.001*A28*B28)</f>
        <v>0.97399799999999992</v>
      </c>
      <c r="G28" s="37">
        <f>IF(LEN('Bejövő adatok'!D34)=0,"",'Bejövő adatok'!D34*1000)</f>
        <v>153</v>
      </c>
      <c r="H28" s="37">
        <f>IF(LEN('Bejövő adatok'!E34)=0,"",'Bejövő adatok'!E34)</f>
        <v>6.3659999999999997</v>
      </c>
    </row>
    <row r="29" spans="1:8" x14ac:dyDescent="0.25">
      <c r="A29" s="14">
        <f t="shared" si="0"/>
        <v>148</v>
      </c>
      <c r="B29" s="38">
        <f t="shared" si="1"/>
        <v>6.3659999999999997</v>
      </c>
      <c r="C29" s="15">
        <f>'Bejövő adatok'!C35</f>
        <v>0.749</v>
      </c>
      <c r="D29" s="18">
        <f>IF(LEN('Bejövő adatok'!D35)=0,"",0.001*A29*B29)</f>
        <v>0.94216799999999989</v>
      </c>
      <c r="G29" s="37">
        <f>IF(LEN('Bejövő adatok'!D35)=0,"",'Bejövő adatok'!D35*1000)</f>
        <v>148</v>
      </c>
      <c r="H29" s="37">
        <f>IF(LEN('Bejövő adatok'!E35)=0,"",'Bejövő adatok'!E35)</f>
        <v>6.3659999999999997</v>
      </c>
    </row>
    <row r="30" spans="1:8" x14ac:dyDescent="0.25">
      <c r="A30" s="14">
        <f t="shared" si="0"/>
        <v>142</v>
      </c>
      <c r="B30" s="38">
        <f t="shared" si="1"/>
        <v>6.3689999999999998</v>
      </c>
      <c r="C30" s="15">
        <f>'Bejövő adatok'!C36</f>
        <v>0.75</v>
      </c>
      <c r="D30" s="18">
        <f>IF(LEN('Bejövő adatok'!D36)=0,"",0.001*A30*B30)</f>
        <v>0.90439800000000004</v>
      </c>
      <c r="G30" s="37">
        <f>IF(LEN('Bejövő adatok'!D36)=0,"",'Bejövő adatok'!D36*1000)</f>
        <v>142</v>
      </c>
      <c r="H30" s="37">
        <f>IF(LEN('Bejövő adatok'!E36)=0,"",'Bejövő adatok'!E36)</f>
        <v>6.3689999999999998</v>
      </c>
    </row>
    <row r="31" spans="1:8" x14ac:dyDescent="0.25">
      <c r="A31" s="14">
        <f t="shared" si="0"/>
        <v>139</v>
      </c>
      <c r="B31" s="38">
        <f t="shared" si="1"/>
        <v>6.3780000000000001</v>
      </c>
      <c r="C31" s="15">
        <f>'Bejövő adatok'!C37</f>
        <v>0.75</v>
      </c>
      <c r="D31" s="18">
        <f>IF(LEN('Bejövő adatok'!D37)=0,"",0.001*A31*B31)</f>
        <v>0.88654200000000005</v>
      </c>
      <c r="G31" s="37">
        <f>IF(LEN('Bejövő adatok'!D37)=0,"",'Bejövő adatok'!D37*1000)</f>
        <v>139</v>
      </c>
      <c r="H31" s="37">
        <f>IF(LEN('Bejövő adatok'!E37)=0,"",'Bejövő adatok'!E37)</f>
        <v>6.3780000000000001</v>
      </c>
    </row>
    <row r="34" spans="6:6" x14ac:dyDescent="0.25">
      <c r="F34" s="17"/>
    </row>
  </sheetData>
  <conditionalFormatting sqref="D2:D31">
    <cfRule type="expression" dxfId="26" priority="1">
      <formula>$D2=MAX($D$2:$D$31)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1F51-819D-4987-A309-87D1641FE151}">
  <dimension ref="A1:K37"/>
  <sheetViews>
    <sheetView topLeftCell="A11" workbookViewId="0">
      <selection activeCell="L40" sqref="L40"/>
    </sheetView>
  </sheetViews>
  <sheetFormatPr defaultColWidth="8.85546875" defaultRowHeight="15" x14ac:dyDescent="0.25"/>
  <cols>
    <col min="1" max="1" width="14.7109375" style="1" customWidth="1"/>
    <col min="2" max="11" width="10.7109375" style="1" customWidth="1"/>
    <col min="12" max="12" width="20.7109375" style="1" customWidth="1"/>
    <col min="13" max="16384" width="8.85546875" style="1"/>
  </cols>
  <sheetData>
    <row r="1" spans="1:11" ht="30.75" x14ac:dyDescent="0.55000000000000004">
      <c r="A1" s="25" t="s">
        <v>28</v>
      </c>
      <c r="B1" s="25"/>
      <c r="C1" s="25"/>
      <c r="D1" s="25"/>
      <c r="E1" s="25"/>
      <c r="F1" s="25"/>
      <c r="G1" s="25"/>
      <c r="H1" s="25"/>
      <c r="I1" s="25"/>
      <c r="J1" s="25"/>
    </row>
    <row r="2" spans="1:11" ht="16.5" x14ac:dyDescent="0.25">
      <c r="A2" s="26" t="s">
        <v>20</v>
      </c>
      <c r="B2" s="26"/>
      <c r="C2" s="26"/>
      <c r="D2" s="26"/>
      <c r="E2" s="26"/>
      <c r="F2" s="26"/>
      <c r="G2" s="26"/>
      <c r="H2" s="26"/>
      <c r="I2" s="26"/>
      <c r="J2" s="26"/>
    </row>
    <row r="3" spans="1:11" ht="33.6" customHeight="1" x14ac:dyDescent="0.35">
      <c r="A3" s="35" t="s">
        <v>21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x14ac:dyDescent="0.25">
      <c r="A4" s="6" t="s">
        <v>22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</row>
    <row r="5" spans="1:11" ht="19.5" customHeight="1" x14ac:dyDescent="0.25">
      <c r="A5" s="8">
        <v>46253.770748750001</v>
      </c>
      <c r="B5" s="20">
        <v>40</v>
      </c>
      <c r="C5" s="20">
        <v>0.51600000000000001</v>
      </c>
      <c r="D5" s="20">
        <v>1.464</v>
      </c>
      <c r="E5" s="20">
        <v>0</v>
      </c>
      <c r="F5" s="7"/>
      <c r="G5" s="7"/>
      <c r="H5" s="7"/>
      <c r="I5" s="7"/>
      <c r="J5" s="7"/>
      <c r="K5" s="7"/>
    </row>
    <row r="6" spans="1:11" ht="33.6" customHeight="1" x14ac:dyDescent="0.35">
      <c r="A6" s="36" t="s">
        <v>23</v>
      </c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x14ac:dyDescent="0.25">
      <c r="A7" s="6" t="s">
        <v>22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</row>
    <row r="8" spans="1:11" ht="19.5" customHeight="1" x14ac:dyDescent="0.25">
      <c r="A8" s="22">
        <v>46253.770748750001</v>
      </c>
      <c r="B8" s="24">
        <v>40</v>
      </c>
      <c r="C8" s="24">
        <v>0.51600000000000001</v>
      </c>
      <c r="D8" s="24">
        <v>1.464</v>
      </c>
      <c r="E8" s="24">
        <v>0</v>
      </c>
      <c r="F8" s="23"/>
      <c r="G8" s="23"/>
      <c r="H8" s="23"/>
      <c r="I8" s="23"/>
      <c r="J8" s="23"/>
      <c r="K8" s="23"/>
    </row>
    <row r="9" spans="1:11" ht="19.5" customHeight="1" x14ac:dyDescent="0.25">
      <c r="A9" s="10">
        <v>46253.770742303241</v>
      </c>
      <c r="B9" s="21">
        <v>41</v>
      </c>
      <c r="C9" s="21">
        <v>0.53</v>
      </c>
      <c r="D9" s="21">
        <v>1.464</v>
      </c>
      <c r="E9" s="21">
        <v>4.0000000000000001E-3</v>
      </c>
      <c r="F9" s="9"/>
      <c r="G9" s="9"/>
      <c r="H9" s="9"/>
      <c r="I9" s="9"/>
      <c r="J9" s="9"/>
      <c r="K9" s="9"/>
    </row>
    <row r="10" spans="1:11" ht="19.5" customHeight="1" x14ac:dyDescent="0.25">
      <c r="A10" s="10">
        <v>46253.770735891201</v>
      </c>
      <c r="B10" s="21">
        <v>43</v>
      </c>
      <c r="C10" s="21">
        <v>0.55500000000000005</v>
      </c>
      <c r="D10" s="21">
        <v>1.4650000000000001</v>
      </c>
      <c r="E10" s="21">
        <v>3.5999999999999997E-2</v>
      </c>
      <c r="F10" s="9"/>
      <c r="G10" s="9"/>
      <c r="H10" s="9"/>
      <c r="I10" s="9"/>
      <c r="J10" s="9"/>
      <c r="K10" s="9"/>
    </row>
    <row r="11" spans="1:11" ht="19.5" customHeight="1" x14ac:dyDescent="0.25">
      <c r="A11" s="10">
        <v>46253.770729490738</v>
      </c>
      <c r="B11" s="21">
        <v>44</v>
      </c>
      <c r="C11" s="21">
        <v>0.56699999999999995</v>
      </c>
      <c r="D11" s="21">
        <v>1.4650000000000001</v>
      </c>
      <c r="E11" s="21">
        <v>4.9000000000000002E-2</v>
      </c>
      <c r="F11" s="9"/>
      <c r="G11" s="9"/>
      <c r="H11" s="9"/>
      <c r="I11" s="9"/>
      <c r="J11" s="9"/>
      <c r="K11" s="9"/>
    </row>
    <row r="12" spans="1:11" ht="19.5" customHeight="1" x14ac:dyDescent="0.25">
      <c r="A12" s="10">
        <v>46253.770723194444</v>
      </c>
      <c r="B12" s="21">
        <v>46</v>
      </c>
      <c r="C12" s="21">
        <v>0.59199999999999997</v>
      </c>
      <c r="D12" s="21">
        <v>1.4630000000000001</v>
      </c>
      <c r="E12" s="21">
        <v>0.122</v>
      </c>
      <c r="F12" s="9"/>
      <c r="G12" s="9"/>
      <c r="H12" s="9"/>
      <c r="I12" s="9"/>
      <c r="J12" s="9"/>
      <c r="K12" s="9"/>
    </row>
    <row r="13" spans="1:11" ht="19.5" customHeight="1" x14ac:dyDescent="0.25">
      <c r="A13" s="10">
        <v>46253.770716724539</v>
      </c>
      <c r="B13" s="21">
        <v>47</v>
      </c>
      <c r="C13" s="21">
        <v>0.60399999999999998</v>
      </c>
      <c r="D13" s="21">
        <v>1.464</v>
      </c>
      <c r="E13" s="21">
        <v>0.21</v>
      </c>
      <c r="F13" s="9"/>
      <c r="G13" s="9"/>
      <c r="H13" s="9"/>
      <c r="I13" s="9"/>
      <c r="J13" s="9"/>
      <c r="K13" s="9"/>
    </row>
    <row r="14" spans="1:11" ht="19.5" customHeight="1" x14ac:dyDescent="0.25">
      <c r="A14" s="10">
        <v>46253.770710416669</v>
      </c>
      <c r="B14" s="21">
        <v>48</v>
      </c>
      <c r="C14" s="21">
        <v>0.61699999999999999</v>
      </c>
      <c r="D14" s="21">
        <v>1.4630000000000001</v>
      </c>
      <c r="E14" s="21">
        <v>0.34799999999999998</v>
      </c>
      <c r="F14" s="9"/>
      <c r="G14" s="9"/>
      <c r="H14" s="9"/>
      <c r="I14" s="9"/>
      <c r="J14" s="9"/>
      <c r="K14" s="9"/>
    </row>
    <row r="15" spans="1:11" ht="19.5" customHeight="1" x14ac:dyDescent="0.25">
      <c r="A15" s="10">
        <v>46253.77070385417</v>
      </c>
      <c r="B15" s="21">
        <v>50</v>
      </c>
      <c r="C15" s="21">
        <v>0.64</v>
      </c>
      <c r="D15" s="21">
        <v>1.4610000000000001</v>
      </c>
      <c r="E15" s="21">
        <v>0.85699999999999998</v>
      </c>
      <c r="F15" s="9"/>
      <c r="G15" s="9"/>
      <c r="H15" s="9"/>
      <c r="I15" s="9"/>
      <c r="J15" s="9"/>
      <c r="K15" s="9"/>
    </row>
    <row r="16" spans="1:11" ht="19.5" customHeight="1" x14ac:dyDescent="0.25">
      <c r="A16" s="10">
        <v>46253.770697638887</v>
      </c>
      <c r="B16" s="21">
        <v>51</v>
      </c>
      <c r="C16" s="21">
        <v>0.65100000000000002</v>
      </c>
      <c r="D16" s="21">
        <v>1.458</v>
      </c>
      <c r="E16" s="21">
        <v>1.3</v>
      </c>
      <c r="F16" s="9"/>
      <c r="G16" s="9"/>
      <c r="H16" s="9"/>
      <c r="I16" s="9"/>
      <c r="J16" s="9"/>
      <c r="K16" s="9"/>
    </row>
    <row r="17" spans="1:11" ht="19.5" customHeight="1" x14ac:dyDescent="0.25">
      <c r="A17" s="10">
        <v>46253.770691261576</v>
      </c>
      <c r="B17" s="21">
        <v>52</v>
      </c>
      <c r="C17" s="21">
        <v>0.66200000000000003</v>
      </c>
      <c r="D17" s="21">
        <v>1.4570000000000001</v>
      </c>
      <c r="E17" s="21">
        <v>1.919</v>
      </c>
      <c r="F17" s="9"/>
      <c r="G17" s="9"/>
      <c r="H17" s="9"/>
      <c r="I17" s="9"/>
      <c r="J17" s="9"/>
      <c r="K17" s="9"/>
    </row>
    <row r="18" spans="1:11" ht="19.5" customHeight="1" x14ac:dyDescent="0.25">
      <c r="A18" s="10">
        <v>46253.770684872688</v>
      </c>
      <c r="B18" s="21">
        <v>54</v>
      </c>
      <c r="C18" s="21">
        <v>0.68100000000000005</v>
      </c>
      <c r="D18" s="21">
        <v>1.448</v>
      </c>
      <c r="E18" s="21">
        <v>3.798</v>
      </c>
      <c r="F18" s="9"/>
      <c r="G18" s="9"/>
      <c r="H18" s="9"/>
      <c r="I18" s="9"/>
      <c r="J18" s="9"/>
      <c r="K18" s="9"/>
    </row>
    <row r="19" spans="1:11" ht="19.5" customHeight="1" x14ac:dyDescent="0.25">
      <c r="A19" s="10">
        <v>46253.770678472225</v>
      </c>
      <c r="B19" s="21">
        <v>55</v>
      </c>
      <c r="C19" s="21">
        <v>0.68899999999999995</v>
      </c>
      <c r="D19" s="21">
        <v>1.4430000000000001</v>
      </c>
      <c r="E19" s="21">
        <v>5.0490000000000004</v>
      </c>
      <c r="F19" s="9"/>
      <c r="G19" s="9"/>
      <c r="H19" s="9"/>
      <c r="I19" s="9"/>
      <c r="J19" s="9"/>
      <c r="K19" s="9"/>
    </row>
    <row r="20" spans="1:11" ht="19.5" customHeight="1" x14ac:dyDescent="0.25">
      <c r="A20" s="10">
        <v>46253.770672002312</v>
      </c>
      <c r="B20" s="21">
        <v>57</v>
      </c>
      <c r="C20" s="21">
        <v>0.70199999999999996</v>
      </c>
      <c r="D20" s="21">
        <v>1.393</v>
      </c>
      <c r="E20" s="21">
        <v>7.88</v>
      </c>
      <c r="F20" s="9"/>
      <c r="G20" s="9"/>
      <c r="H20" s="9"/>
      <c r="I20" s="9"/>
      <c r="J20" s="9"/>
      <c r="K20" s="9"/>
    </row>
    <row r="21" spans="1:11" ht="19.5" customHeight="1" x14ac:dyDescent="0.25">
      <c r="A21" s="10">
        <v>46253.770665706019</v>
      </c>
      <c r="B21" s="21">
        <v>58</v>
      </c>
      <c r="C21" s="21">
        <v>0.70799999999999996</v>
      </c>
      <c r="D21" s="21">
        <v>1.246</v>
      </c>
      <c r="E21" s="21">
        <v>8.8829999999999991</v>
      </c>
      <c r="F21" s="9"/>
      <c r="G21" s="9"/>
      <c r="H21" s="9"/>
      <c r="I21" s="9"/>
      <c r="J21" s="9"/>
      <c r="K21" s="9"/>
    </row>
    <row r="22" spans="1:11" ht="19.5" customHeight="1" x14ac:dyDescent="0.25">
      <c r="A22" s="10">
        <v>46253.770659247682</v>
      </c>
      <c r="B22" s="21">
        <v>59</v>
      </c>
      <c r="C22" s="21">
        <v>0.71499999999999997</v>
      </c>
      <c r="D22" s="21">
        <v>0.78900000000000003</v>
      </c>
      <c r="E22" s="21">
        <v>8.0310000000000006</v>
      </c>
      <c r="F22" s="9"/>
      <c r="G22" s="9"/>
      <c r="H22" s="9"/>
      <c r="I22" s="9"/>
      <c r="J22" s="9"/>
      <c r="K22" s="9"/>
    </row>
    <row r="23" spans="1:11" ht="19.5" customHeight="1" x14ac:dyDescent="0.25">
      <c r="A23" s="10">
        <v>46253.770652928244</v>
      </c>
      <c r="B23" s="21">
        <v>61</v>
      </c>
      <c r="C23" s="21">
        <v>0.72299999999999998</v>
      </c>
      <c r="D23" s="21">
        <v>0.373</v>
      </c>
      <c r="E23" s="21">
        <v>6.6449999999999996</v>
      </c>
      <c r="F23" s="9"/>
      <c r="G23" s="9"/>
      <c r="H23" s="9"/>
      <c r="I23" s="9"/>
      <c r="J23" s="9"/>
      <c r="K23" s="9"/>
    </row>
    <row r="24" spans="1:11" ht="19.5" customHeight="1" x14ac:dyDescent="0.25">
      <c r="A24" s="10">
        <v>46253.770646516205</v>
      </c>
      <c r="B24" s="21">
        <v>62</v>
      </c>
      <c r="C24" s="21">
        <v>0.72699999999999998</v>
      </c>
      <c r="D24" s="21">
        <v>0.33900000000000002</v>
      </c>
      <c r="E24" s="21">
        <v>6.5460000000000003</v>
      </c>
      <c r="F24" s="9"/>
      <c r="G24" s="9"/>
      <c r="H24" s="9"/>
      <c r="I24" s="9"/>
      <c r="J24" s="9"/>
      <c r="K24" s="9"/>
    </row>
    <row r="25" spans="1:11" ht="19.5" customHeight="1" x14ac:dyDescent="0.25">
      <c r="A25" s="10">
        <v>46253.770640023147</v>
      </c>
      <c r="B25" s="21">
        <v>63</v>
      </c>
      <c r="C25" s="21">
        <v>0.73</v>
      </c>
      <c r="D25" s="21">
        <v>0.311</v>
      </c>
      <c r="E25" s="21">
        <v>6.4850000000000003</v>
      </c>
      <c r="F25" s="9"/>
      <c r="G25" s="9"/>
      <c r="H25" s="9"/>
      <c r="I25" s="9"/>
      <c r="J25" s="9"/>
      <c r="K25" s="9"/>
    </row>
    <row r="26" spans="1:11" ht="19.5" customHeight="1" x14ac:dyDescent="0.25">
      <c r="A26" s="10">
        <v>46253.770633761575</v>
      </c>
      <c r="B26" s="21">
        <v>65</v>
      </c>
      <c r="C26" s="21">
        <v>0.73699999999999999</v>
      </c>
      <c r="D26" s="21">
        <v>0.26200000000000001</v>
      </c>
      <c r="E26" s="21">
        <v>6.415</v>
      </c>
      <c r="F26" s="9"/>
      <c r="G26" s="9"/>
      <c r="H26" s="9"/>
      <c r="I26" s="9"/>
      <c r="J26" s="9"/>
      <c r="K26" s="9"/>
    </row>
    <row r="27" spans="1:11" ht="19.5" customHeight="1" x14ac:dyDescent="0.25">
      <c r="A27" s="10">
        <v>46253.77062732639</v>
      </c>
      <c r="B27" s="21">
        <v>66</v>
      </c>
      <c r="C27" s="21">
        <v>0.73899999999999999</v>
      </c>
      <c r="D27" s="21">
        <v>0.24</v>
      </c>
      <c r="E27" s="21">
        <v>6.3959999999999999</v>
      </c>
      <c r="F27" s="9"/>
      <c r="G27" s="9"/>
      <c r="H27" s="9"/>
      <c r="I27" s="9"/>
      <c r="J27" s="9"/>
      <c r="K27" s="9"/>
    </row>
    <row r="28" spans="1:11" ht="19.5" customHeight="1" x14ac:dyDescent="0.25">
      <c r="A28" s="10">
        <v>46253.7706209838</v>
      </c>
      <c r="B28" s="21">
        <v>68</v>
      </c>
      <c r="C28" s="21">
        <v>0.74099999999999999</v>
      </c>
      <c r="D28" s="21">
        <v>0.20899999999999999</v>
      </c>
      <c r="E28" s="21">
        <v>6.37</v>
      </c>
      <c r="F28" s="9"/>
      <c r="G28" s="9"/>
      <c r="H28" s="9"/>
      <c r="I28" s="9"/>
      <c r="J28" s="9"/>
      <c r="K28" s="9"/>
    </row>
    <row r="29" spans="1:11" ht="19.5" customHeight="1" x14ac:dyDescent="0.25">
      <c r="A29" s="10">
        <v>46253.770614502311</v>
      </c>
      <c r="B29" s="21">
        <v>69</v>
      </c>
      <c r="C29" s="21">
        <v>0.74199999999999999</v>
      </c>
      <c r="D29" s="21">
        <v>0.19700000000000001</v>
      </c>
      <c r="E29" s="21">
        <v>6.37</v>
      </c>
      <c r="F29" s="9"/>
      <c r="G29" s="9"/>
      <c r="H29" s="9"/>
      <c r="I29" s="9"/>
      <c r="J29" s="9"/>
      <c r="K29" s="9"/>
    </row>
    <row r="30" spans="1:11" ht="19.5" customHeight="1" x14ac:dyDescent="0.25">
      <c r="A30" s="10">
        <v>46253.770608125</v>
      </c>
      <c r="B30" s="21">
        <v>70</v>
      </c>
      <c r="C30" s="21">
        <v>0.74299999999999999</v>
      </c>
      <c r="D30" s="21">
        <v>0.187</v>
      </c>
      <c r="E30" s="21">
        <v>6.3630000000000004</v>
      </c>
      <c r="F30" s="9"/>
      <c r="G30" s="9"/>
      <c r="H30" s="9"/>
      <c r="I30" s="9"/>
      <c r="J30" s="9"/>
      <c r="K30" s="9"/>
    </row>
    <row r="31" spans="1:11" ht="19.5" customHeight="1" x14ac:dyDescent="0.25">
      <c r="A31" s="10">
        <v>46253.77060181713</v>
      </c>
      <c r="B31" s="21">
        <v>72</v>
      </c>
      <c r="C31" s="21">
        <v>0.745</v>
      </c>
      <c r="D31" s="21">
        <v>0.17299999999999999</v>
      </c>
      <c r="E31" s="21">
        <v>6.3630000000000004</v>
      </c>
      <c r="F31" s="9"/>
      <c r="G31" s="9"/>
      <c r="H31" s="9"/>
      <c r="I31" s="9"/>
      <c r="J31" s="9"/>
      <c r="K31" s="9"/>
    </row>
    <row r="32" spans="1:11" ht="19.5" customHeight="1" x14ac:dyDescent="0.25">
      <c r="A32" s="10">
        <v>46253.770595381946</v>
      </c>
      <c r="B32" s="21">
        <v>73</v>
      </c>
      <c r="C32" s="21">
        <v>0.746</v>
      </c>
      <c r="D32" s="21">
        <v>0.16700000000000001</v>
      </c>
      <c r="E32" s="21">
        <v>6.3639999999999999</v>
      </c>
      <c r="F32" s="9"/>
      <c r="G32" s="9"/>
      <c r="H32" s="9"/>
      <c r="I32" s="9"/>
      <c r="J32" s="9"/>
      <c r="K32" s="9"/>
    </row>
    <row r="33" spans="1:11" ht="19.5" customHeight="1" x14ac:dyDescent="0.25">
      <c r="A33" s="10">
        <v>46253.770589039355</v>
      </c>
      <c r="B33" s="21">
        <v>74</v>
      </c>
      <c r="C33" s="21">
        <v>0.747</v>
      </c>
      <c r="D33" s="21">
        <v>0.16200000000000001</v>
      </c>
      <c r="E33" s="21">
        <v>6.3620000000000001</v>
      </c>
      <c r="F33" s="9"/>
      <c r="G33" s="9"/>
      <c r="H33" s="9"/>
      <c r="I33" s="9"/>
      <c r="J33" s="9"/>
      <c r="K33" s="9"/>
    </row>
    <row r="34" spans="1:11" ht="19.5" customHeight="1" x14ac:dyDescent="0.25">
      <c r="A34" s="10">
        <v>46253.770582557867</v>
      </c>
      <c r="B34" s="21">
        <v>76</v>
      </c>
      <c r="C34" s="21">
        <v>0.748</v>
      </c>
      <c r="D34" s="21">
        <v>0.153</v>
      </c>
      <c r="E34" s="21">
        <v>6.3659999999999997</v>
      </c>
      <c r="F34" s="9"/>
      <c r="G34" s="9"/>
      <c r="H34" s="9"/>
      <c r="I34" s="9"/>
      <c r="J34" s="9"/>
      <c r="K34" s="9"/>
    </row>
    <row r="35" spans="1:11" ht="19.5" customHeight="1" x14ac:dyDescent="0.25">
      <c r="A35" s="10">
        <v>46253.770576249997</v>
      </c>
      <c r="B35" s="21">
        <v>77</v>
      </c>
      <c r="C35" s="21">
        <v>0.749</v>
      </c>
      <c r="D35" s="21">
        <v>0.14799999999999999</v>
      </c>
      <c r="E35" s="21">
        <v>6.3659999999999997</v>
      </c>
      <c r="F35" s="9"/>
      <c r="G35" s="9"/>
      <c r="H35" s="9"/>
      <c r="I35" s="9"/>
      <c r="J35" s="9"/>
      <c r="K35" s="9"/>
    </row>
    <row r="36" spans="1:11" ht="19.5" customHeight="1" x14ac:dyDescent="0.25">
      <c r="A36" s="10">
        <v>46253.770569733795</v>
      </c>
      <c r="B36" s="21">
        <v>79</v>
      </c>
      <c r="C36" s="21">
        <v>0.75</v>
      </c>
      <c r="D36" s="21">
        <v>0.14199999999999999</v>
      </c>
      <c r="E36" s="21">
        <v>6.3689999999999998</v>
      </c>
      <c r="F36" s="9"/>
      <c r="G36" s="9"/>
      <c r="H36" s="9"/>
      <c r="I36" s="9"/>
      <c r="J36" s="9"/>
      <c r="K36" s="9"/>
    </row>
    <row r="37" spans="1:11" ht="19.5" customHeight="1" x14ac:dyDescent="0.25">
      <c r="A37" s="10">
        <v>46253.770563483798</v>
      </c>
      <c r="B37" s="21">
        <v>80</v>
      </c>
      <c r="C37" s="21">
        <v>0.75</v>
      </c>
      <c r="D37" s="21">
        <v>0.13900000000000001</v>
      </c>
      <c r="E37" s="21">
        <v>6.3780000000000001</v>
      </c>
      <c r="F37" s="9"/>
      <c r="G37" s="9"/>
      <c r="H37" s="9"/>
      <c r="I37" s="9"/>
      <c r="J37" s="9"/>
      <c r="K37" s="9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Idő_x000d__x000a__x000d__x000a_TBL_CUR[TIME]" sqref="A5" xr:uid="{7164E784-1A51-4A16-8108-BC0CA056B4D4}"/>
    <dataValidation allowBlank="1" showInputMessage="1" showErrorMessage="1" prompt="TBL_CUR[CH1]" sqref="B5" xr:uid="{20CCE843-0538-4D9F-AC22-3F2752DC0826}"/>
    <dataValidation allowBlank="1" showInputMessage="1" showErrorMessage="1" prompt="TBL_CUR[CH2]" sqref="C5" xr:uid="{05335116-7534-4E06-8304-0FF23BB72853}"/>
    <dataValidation allowBlank="1" showInputMessage="1" showErrorMessage="1" prompt="TBL_CUR[CH3]" sqref="D5" xr:uid="{ABF0647B-781C-4DD2-BAEA-351FB25E674F}"/>
    <dataValidation allowBlank="1" showInputMessage="1" showErrorMessage="1" prompt="Idő_x000d__x000a__x000d__x000a_TBL_HST[TIME]" sqref="A8:A37" xr:uid="{626CFE1C-199B-41DA-89DD-94401978798E}"/>
    <dataValidation allowBlank="1" showInputMessage="1" showErrorMessage="1" prompt="TBL_HST[CH1]" sqref="B8:B37" xr:uid="{2BD2D3F0-C17E-4F76-B536-D4FA0CFC761B}"/>
    <dataValidation allowBlank="1" showInputMessage="1" showErrorMessage="1" prompt="TBL_HST[CH2]" sqref="C8:C37" xr:uid="{86094015-65C5-4541-B717-F9B71C8A773F}"/>
    <dataValidation allowBlank="1" showInputMessage="1" showErrorMessage="1" prompt="TBL_HST[CH3]" sqref="D8:D37" xr:uid="{3D6F2CC5-B48D-4DEA-B0D8-3F450992DD21}"/>
    <dataValidation allowBlank="1" showInputMessage="1" showErrorMessage="1" prompt="TBL_CUR[CH4]" sqref="E5" xr:uid="{857D15F8-019A-42DB-9D93-E6768D1B9D85}"/>
    <dataValidation allowBlank="1" showInputMessage="1" showErrorMessage="1" prompt="TBL_CUR[CH5]" sqref="F5" xr:uid="{82E11B0A-ED2B-4F4F-8142-4487728C3560}"/>
    <dataValidation allowBlank="1" showInputMessage="1" showErrorMessage="1" prompt="TBL_CUR[CH6]" sqref="G5" xr:uid="{B6913CF7-8DE9-4BB2-96CD-C0DEBF0E844C}"/>
    <dataValidation allowBlank="1" showInputMessage="1" showErrorMessage="1" prompt="TBL_CUR[CH7]" sqref="H5" xr:uid="{C47BAAEF-AF77-4E4A-BADD-C8D1411CC642}"/>
    <dataValidation allowBlank="1" showInputMessage="1" showErrorMessage="1" prompt="TBL_CUR[CH8]" sqref="I5" xr:uid="{945A2805-93FB-495F-B4BF-70B754A04C02}"/>
    <dataValidation allowBlank="1" showInputMessage="1" showErrorMessage="1" prompt="TBL_CUR[CH9]" sqref="J5" xr:uid="{48F7A87E-439C-45F3-A2B5-B29B72267148}"/>
    <dataValidation allowBlank="1" showInputMessage="1" showErrorMessage="1" prompt="TBL_CUR[CH10]" sqref="K5" xr:uid="{1C27ECD8-1325-40A0-9F3E-16BD6F4CBA0A}"/>
    <dataValidation allowBlank="1" showInputMessage="1" showErrorMessage="1" prompt="TBL_HST[CH4]" sqref="E8:E37" xr:uid="{4C2C851E-706E-4405-B4B1-4C3BCB334345}"/>
    <dataValidation allowBlank="1" showInputMessage="1" showErrorMessage="1" prompt="TBL_HST[CH5]" sqref="F8:F37" xr:uid="{CCA7A7FD-6341-4232-917E-6F3351D7231B}"/>
    <dataValidation allowBlank="1" showInputMessage="1" showErrorMessage="1" prompt="TBL_HST[CH6]" sqref="G8:G37" xr:uid="{E599CDDF-F046-436F-A51B-E84CE8A20011}"/>
    <dataValidation allowBlank="1" showInputMessage="1" showErrorMessage="1" prompt="TBL_HST[CH7]" sqref="H8:H37" xr:uid="{8C88D565-13E1-4CB7-93A4-FCFD1DE10361}"/>
    <dataValidation allowBlank="1" showInputMessage="1" showErrorMessage="1" prompt="TBL_HST[CH8]" sqref="I8:I37" xr:uid="{02A08F1E-3FA6-4798-B4B9-A6469E6EA1C3}"/>
    <dataValidation allowBlank="1" showInputMessage="1" showErrorMessage="1" prompt="TBL_HST[CH9]" sqref="J8:J37" xr:uid="{04682AB9-E246-46DB-A081-B1F8B7523873}"/>
    <dataValidation allowBlank="1" showInputMessage="1" showErrorMessage="1" prompt="TBL_HST[CH10]" sqref="K8:K37" xr:uid="{A2EA292F-5BD6-433F-8532-16862B7D7AE6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4E6B-A240-485C-81A7-A29C4EB4846A}">
  <dimension ref="A1:J5"/>
  <sheetViews>
    <sheetView workbookViewId="0">
      <selection activeCell="A6" sqref="A6"/>
    </sheetView>
  </sheetViews>
  <sheetFormatPr defaultRowHeight="15" x14ac:dyDescent="0.25"/>
  <cols>
    <col min="1" max="10" width="11.5703125" customWidth="1"/>
  </cols>
  <sheetData>
    <row r="1" spans="1:10" ht="30.75" x14ac:dyDescent="0.55000000000000004">
      <c r="A1" s="27" t="s">
        <v>18</v>
      </c>
      <c r="B1" s="27"/>
      <c r="C1" s="27"/>
      <c r="D1" s="27"/>
      <c r="E1" s="27"/>
      <c r="F1" s="27"/>
      <c r="G1" s="27"/>
      <c r="H1" s="27"/>
    </row>
    <row r="2" spans="1:10" ht="16.5" x14ac:dyDescent="0.25">
      <c r="A2" s="28" t="s">
        <v>19</v>
      </c>
      <c r="B2" s="28"/>
      <c r="C2" s="28"/>
      <c r="D2" s="28"/>
      <c r="E2" s="28"/>
      <c r="F2" s="28"/>
      <c r="G2" s="28"/>
      <c r="H2" s="28"/>
    </row>
    <row r="3" spans="1:10" ht="17.45" customHeight="1" x14ac:dyDescent="0.25"/>
    <row r="4" spans="1:10" ht="19.5" customHeight="1" x14ac:dyDescent="0.25">
      <c r="A4" s="33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34" t="s">
        <v>6</v>
      </c>
      <c r="G4" s="34" t="s">
        <v>7</v>
      </c>
      <c r="H4" s="34" t="s">
        <v>8</v>
      </c>
      <c r="I4" s="34" t="s">
        <v>9</v>
      </c>
      <c r="J4" s="34" t="s">
        <v>10</v>
      </c>
    </row>
    <row r="5" spans="1:10" ht="27" customHeight="1" x14ac:dyDescent="0.25">
      <c r="A5" s="5" t="str">
        <f>MHU!E1</f>
        <v>s</v>
      </c>
      <c r="B5" s="5"/>
      <c r="C5" s="5"/>
      <c r="D5" s="5"/>
      <c r="E5" s="5"/>
      <c r="F5" s="5"/>
      <c r="G5" s="5"/>
      <c r="H5" s="5"/>
      <c r="I5" s="5"/>
      <c r="J5" s="5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3E5D-F889-4D90-BE3E-F843B63AF9D5}">
  <dimension ref="A1:E13"/>
  <sheetViews>
    <sheetView workbookViewId="0">
      <selection activeCell="C10" sqref="C10"/>
    </sheetView>
  </sheetViews>
  <sheetFormatPr defaultColWidth="8.85546875" defaultRowHeight="15" x14ac:dyDescent="0.25"/>
  <cols>
    <col min="1" max="1" width="30.7109375" style="2" customWidth="1"/>
    <col min="2" max="2" width="0.140625" style="2" customWidth="1"/>
    <col min="3" max="3" width="30.7109375" style="2" customWidth="1"/>
    <col min="4" max="16384" width="8.85546875" style="2"/>
  </cols>
  <sheetData>
    <row r="1" spans="1:5" ht="30.75" x14ac:dyDescent="0.55000000000000004">
      <c r="A1" s="29" t="s">
        <v>11</v>
      </c>
      <c r="B1" s="29"/>
      <c r="C1" s="29"/>
      <c r="D1" s="29"/>
      <c r="E1" s="29"/>
    </row>
    <row r="2" spans="1:5" ht="50.1" customHeight="1" x14ac:dyDescent="0.25">
      <c r="A2" s="30" t="s">
        <v>12</v>
      </c>
      <c r="B2" s="30"/>
      <c r="C2" s="30"/>
      <c r="D2" s="30"/>
      <c r="E2" s="30"/>
    </row>
    <row r="3" spans="1:5" ht="4.5" customHeight="1" x14ac:dyDescent="0.25"/>
    <row r="4" spans="1:5" ht="24" customHeight="1" x14ac:dyDescent="0.25">
      <c r="A4" s="32" t="s">
        <v>0</v>
      </c>
      <c r="B4" s="3">
        <v>150</v>
      </c>
      <c r="C4" s="4">
        <v>150</v>
      </c>
    </row>
    <row r="5" spans="1:5" ht="4.5" customHeight="1" x14ac:dyDescent="0.25"/>
    <row r="6" spans="1:5" ht="24" customHeight="1" x14ac:dyDescent="0.25">
      <c r="A6" s="32" t="s">
        <v>13</v>
      </c>
      <c r="B6" s="3">
        <v>15</v>
      </c>
      <c r="C6" s="4">
        <v>30</v>
      </c>
    </row>
    <row r="7" spans="1:5" ht="4.5" customHeight="1" x14ac:dyDescent="0.25"/>
    <row r="8" spans="1:5" ht="24" customHeight="1" x14ac:dyDescent="0.25">
      <c r="A8" s="32" t="s">
        <v>14</v>
      </c>
      <c r="B8" s="3">
        <v>10</v>
      </c>
      <c r="C8" s="4">
        <v>10</v>
      </c>
    </row>
    <row r="9" spans="1:5" ht="4.5" customHeight="1" x14ac:dyDescent="0.25"/>
    <row r="10" spans="1:5" ht="24" customHeight="1" x14ac:dyDescent="0.25">
      <c r="A10" s="32" t="s">
        <v>15</v>
      </c>
      <c r="B10" s="3" t="s">
        <v>16</v>
      </c>
      <c r="C10" s="4" t="s">
        <v>31</v>
      </c>
    </row>
    <row r="13" spans="1:5" ht="50.1" customHeight="1" x14ac:dyDescent="0.25">
      <c r="A13" s="31" t="s">
        <v>17</v>
      </c>
      <c r="B13" s="31"/>
      <c r="C13" s="31"/>
      <c r="D13" s="31"/>
      <c r="E13" s="31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Csak 10 és 1000 közötti értéket adhat meg" prompt="Az adatolvasások minimális időtartama ezredmásodpercben. 10 1000" sqref="C4" xr:uid="{05BF693D-769E-4317-B3BB-0461B64269D6}">
      <formula1>10</formula1>
      <formula2>1000</formula2>
    </dataValidation>
    <dataValidation type="whole" allowBlank="1" showInputMessage="1" showErrorMessage="1" error="Csak 1 és 1000000 közötti értéket adhat meg" prompt="A megőrzendő múltbeli adatsorok száma. 1 1000000" sqref="C6" xr:uid="{70E8F3D5-A92E-4B81-8DB7-1B05FAEFC014}">
      <formula1>1</formula1>
      <formula2>1000000</formula2>
    </dataValidation>
    <dataValidation type="whole" allowBlank="1" showInputMessage="1" showErrorMessage="1" error="Csak 1 és 1000 közötti értéket adhat meg" prompt="Az elolvasni kívánt adatoszlopok száma. 1 1000" sqref="C8" xr:uid="{71D05C9E-E9C6-43A8-B81C-3B884D71BDE5}">
      <formula1>1</formula1>
      <formula2>1000</formula2>
    </dataValidation>
    <dataValidation type="list" errorStyle="information" allowBlank="1" showInputMessage="1" sqref="C10" xr:uid="{74AB4C47-E2C2-42B6-8B41-E2C86F43D6DE}">
      <formula1>"Legújabbak elöl,Legújabbak utoljára"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4</vt:i4>
      </vt:variant>
      <vt:variant>
        <vt:lpstr>Névvel ellátott tartományok</vt:lpstr>
      </vt:variant>
      <vt:variant>
        <vt:i4>4</vt:i4>
      </vt:variant>
    </vt:vector>
  </HeadingPairs>
  <TitlesOfParts>
    <vt:vector size="8" baseType="lpstr">
      <vt:lpstr>MHU</vt:lpstr>
      <vt:lpstr>Bejövő adatok</vt:lpstr>
      <vt:lpstr>Kimenő adatok</vt:lpstr>
      <vt:lpstr>Beállítások</vt:lpstr>
      <vt:lpstr>DataChannelCountSetting</vt:lpstr>
      <vt:lpstr>DataDelaySetting</vt:lpstr>
      <vt:lpstr>DataOrientationSetting</vt:lpstr>
      <vt:lpstr>DataRowCountSetting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Pilath Károly</dc:creator>
  <cp:lastModifiedBy>dr. Piláth Károly</cp:lastModifiedBy>
  <dcterms:created xsi:type="dcterms:W3CDTF">2023-04-26T15:15:07Z</dcterms:created>
  <dcterms:modified xsi:type="dcterms:W3CDTF">2026-08-19T16:30:36Z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e9001ef6-4d82-48c8-b40a-823b1bde0b4d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