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GA\Progarmozás\ESP32\SUPER_MINI_telep\"/>
    </mc:Choice>
  </mc:AlternateContent>
  <xr:revisionPtr revIDLastSave="0" documentId="8_{683941E2-FACB-43BA-B17F-2219CCA16E45}" xr6:coauthVersionLast="47" xr6:coauthVersionMax="47" xr10:uidLastSave="{00000000-0000-0000-0000-000000000000}"/>
  <bookViews>
    <workbookView xWindow="-120" yWindow="-120" windowWidth="29040" windowHeight="16440" xr2:uid="{3C65BF60-F241-446A-98C2-0819815D5981}"/>
  </bookViews>
  <sheets>
    <sheet name="grafikon" sheetId="1" r:id="rId1"/>
    <sheet name="Bejövő adatok" sheetId="5" r:id="rId2"/>
    <sheet name="Kimenő adatok" sheetId="4" r:id="rId3"/>
    <sheet name="Beállítások" sheetId="3" r:id="rId4"/>
    <sheet name="Jegyzékfájl" sheetId="2" r:id="rId5"/>
  </sheets>
  <definedNames>
    <definedName name="DataChannelCountSetting">Beállítások!$C$8</definedName>
    <definedName name="DataDelaySetting">Beállítások!$C$4</definedName>
    <definedName name="DataOrientationSetting">Beállítások!$C$10</definedName>
    <definedName name="DataRowCountSetting">Beállítások!$C$6</definedName>
    <definedName name="Manifest_BaudRate">Jegyzékfájl!$I$9</definedName>
    <definedName name="Manifest_DataInterval">Jegyzékfájl!$I$7</definedName>
    <definedName name="Manifest_Generated">Jegyzékfájl!$K$5</definedName>
    <definedName name="Manifest_Id">Jegyzékfájl!$I$5:$J$5</definedName>
    <definedName name="Manifest_Schema">Jegyzékfájl!$L$1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" i="1"/>
  <c r="A5" i="4"/>
</calcChain>
</file>

<file path=xl/sharedStrings.xml><?xml version="1.0" encoding="utf-8"?>
<sst xmlns="http://schemas.openxmlformats.org/spreadsheetml/2006/main" count="99" uniqueCount="48">
  <si>
    <t>Csatornák</t>
  </si>
  <si>
    <t>Adatforrás azonosítója</t>
  </si>
  <si>
    <t>Adatok időköze (ms)</t>
  </si>
  <si>
    <t>Átviteli sebesség</t>
  </si>
  <si>
    <t>Ez a jegyzékfájl a csatlakoztatott eszközhöz készült. Ha itt módosítja az eszköz nevét és a csatorna adatait, frissítjük a munkalapon lévő adatokat.</t>
  </si>
  <si>
    <t>Azonosító</t>
  </si>
  <si>
    <t>Név</t>
  </si>
  <si>
    <t>Leírás</t>
  </si>
  <si>
    <t>Mértékegység</t>
  </si>
  <si>
    <t>Aktív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</si>
  <si>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</si>
  <si>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</si>
  <si>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</si>
  <si>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</si>
  <si>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</si>
  <si>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</si>
  <si>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</si>
  <si>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</si>
  <si>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</si>
  <si>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</si>
  <si>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</si>
  <si>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Munkafüzet-beállítások</t>
  </si>
  <si>
    <t>Az alábbi beállítások hatással lesznek arra, hogy miként olvassa be a program az adatokat az adatforrásokból a jelenlegi munkafüzetbe. Az egyes mezők tartalmának törlésével visszaállíthatja az alapértelmezett beállításukat.</t>
  </si>
  <si>
    <t>Adatsorok</t>
  </si>
  <si>
    <t>Adatcsatornák</t>
  </si>
  <si>
    <t>Adatok iránya</t>
  </si>
  <si>
    <t>Legújabbak utoljára</t>
  </si>
  <si>
    <r>
      <t>FIGYELMEZTETÉS:</t>
    </r>
    <r>
      <rPr>
        <sz val="11"/>
        <color theme="1"/>
        <rFont val="Segoe UI Light"/>
        <family val="2"/>
        <charset val="238"/>
      </rPr>
      <t xml:space="preserve"> Ha módosítja a beállításokat, tartalmak és/vagy egyéni formázások veszhetnek el a Bejövő adatok és a Kimenő adatok munkalapon. Az értékek módosítása előtt mindig mentse a beállításokat.</t>
    </r>
  </si>
  <si>
    <t>Kimenő adatok (küldés az eszközre)</t>
  </si>
  <si>
    <t>Az alábbi csatornákba bevitt adatokat a rendszer egy vesszővel tagolt karakterláncként küldi el a jelenleg csatlakoztatott eszköznek.</t>
  </si>
  <si>
    <t>Ebben a szakaszban fognak megjelenni a jelenlegi adatforrásból érkező adatok a fogadásukkor.</t>
  </si>
  <si>
    <t xml:space="preserve">Jelenlegi adatok </t>
  </si>
  <si>
    <t>TIME</t>
  </si>
  <si>
    <t xml:space="preserve">Előzményadatok </t>
  </si>
  <si>
    <t>PWM</t>
  </si>
  <si>
    <t>Ug_V</t>
  </si>
  <si>
    <t>Ut_V</t>
  </si>
  <si>
    <t>Uk_V</t>
  </si>
  <si>
    <t>I_mA</t>
  </si>
  <si>
    <t>I (mA)</t>
  </si>
  <si>
    <t>Legújabbak elöl</t>
  </si>
  <si>
    <t>s</t>
  </si>
  <si>
    <t>Az indításhoz s -&gt; Enter</t>
  </si>
  <si>
    <t>Soros USB-eszköz</t>
  </si>
  <si>
    <t>Bejövő adatok innen: Soros USB-eszköz (COM5)</t>
  </si>
  <si>
    <t>440ED657-3716-4446-B914-17B23D2A565A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</si>
  <si>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440ED657-3716-4446-B914-17B23D2A565A","IsGenerated":true,"Name":"Soros USB-eszköz","Version":null,"BaudRate":115200}</t>
  </si>
  <si>
    <r>
      <t>U</t>
    </r>
    <r>
      <rPr>
        <vertAlign val="subscript"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charset val="238"/>
        <scheme val="minor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</si>
</sst>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h:mm:ss.00"/>
    <numFmt numFmtId="165" formatCode="0.000&quot; V&quot;"/>
    <numFmt numFmtId="166" formatCode="0.0&quot; mA&quot;"/>
  </numFmts>
  <fonts count="1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Segoe UI Light"/>
      <family val="2"/>
      <charset val="238"/>
    </font>
    <font>
      <sz val="16"/>
      <color rgb="FF696969"/>
      <name val="Segoe UI Light"/>
      <family val="2"/>
      <charset val="238"/>
    </font>
    <font>
      <sz val="1"/>
      <color rgb="FFFFFFFF"/>
      <name val="Aptos Narrow"/>
      <family val="2"/>
      <charset val="238"/>
      <scheme val="minor"/>
    </font>
    <font>
      <sz val="11"/>
      <color rgb="FF000000"/>
      <name val="Segoe UI Light"/>
      <family val="2"/>
      <charset val="238"/>
    </font>
    <font>
      <sz val="10"/>
      <color rgb="FF000000"/>
      <name val="Segoe UI Light"/>
      <family val="2"/>
      <charset val="238"/>
    </font>
    <font>
      <sz val="20"/>
      <color rgb="FF696969"/>
      <name val="Segoe UI Light"/>
      <family val="2"/>
      <charset val="238"/>
    </font>
    <font>
      <sz val="11"/>
      <color rgb="FF696969"/>
      <name val="Segoe UI Light"/>
      <family val="2"/>
      <charset val="238"/>
    </font>
    <font>
      <b/>
      <sz val="15"/>
      <color rgb="FFFFFFFF"/>
      <name val="Segoe UI"/>
      <family val="2"/>
      <charset val="238"/>
    </font>
    <font>
      <sz val="10"/>
      <color rgb="FF000000"/>
      <name val="Segoe UI"/>
      <family val="2"/>
      <charset val="238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  <charset val="238"/>
    </font>
    <font>
      <sz val="11"/>
      <color rgb="FFFF0000"/>
      <name val="Segoe UI Light"/>
      <family val="2"/>
      <charset val="238"/>
    </font>
    <font>
      <sz val="10"/>
      <color rgb="FF505050"/>
      <name val="Segoe UI"/>
      <family val="2"/>
      <charset val="238"/>
    </font>
    <font>
      <sz val="11"/>
      <color rgb="FF505050"/>
      <name val="Segoe UI"/>
      <family val="2"/>
      <charset val="238"/>
    </font>
    <font>
      <sz val="13"/>
      <color rgb="FF505050"/>
      <name val="Segoe UI"/>
      <family val="2"/>
      <charset val="238"/>
    </font>
    <font>
      <vertAlign val="subscript"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14" borderId="0" xfId="0" applyFill="1"/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3" borderId="16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6" xfId="0" applyFont="1" applyFill="1" applyBorder="1" applyAlignment="1" applyProtection="1">
      <alignment horizontal="right" vertical="center" indent="1"/>
      <protection locked="0"/>
    </xf>
    <xf numFmtId="0" fontId="14" fillId="13" borderId="16" xfId="0" quotePrefix="1" applyFont="1" applyFill="1" applyBorder="1" applyAlignment="1" applyProtection="1">
      <alignment horizontal="right" vertical="center" indent="1"/>
      <protection locked="0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5" fillId="6" borderId="0" xfId="0" applyFont="1" applyFill="1" applyAlignment="1" applyProtection="1">
      <alignment horizontal="left" vertical="center" indent="1"/>
      <protection locked="0"/>
    </xf>
    <xf numFmtId="0" fontId="4" fillId="7" borderId="0" xfId="0" applyFont="1" applyFill="1" applyAlignment="1">
      <alignment horizontal="left" vertical="center" indent="1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>
      <alignment horizontal="left" indent="1"/>
    </xf>
    <xf numFmtId="0" fontId="15" fillId="2" borderId="15" xfId="0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</cellXfs>
  <cellStyles count="1">
    <cellStyle name="Normál" xfId="0" builtinId="0"/>
  </cellStyles>
  <dxfs count="27">
    <dxf>
      <fill>
        <patternFill>
          <bgColor rgb="FF92D05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D4862BF6-0DBC-4844-B452-7908029F0F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</a:t>
            </a:r>
            <a:r>
              <a:rPr lang="en-US" baseline="-25000"/>
              <a:t>k</a:t>
            </a:r>
            <a:r>
              <a:rPr lang="en-US"/>
              <a:t>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4933540241776347E-2"/>
          <c:y val="7.7513074406252214E-2"/>
          <c:w val="0.89120516504779967"/>
          <c:h val="0.8298572194698359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843454286315101E-2"/>
                  <c:y val="-0.542034961507248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grafikon!$A$3:$A$35</c:f>
              <c:numCache>
                <c:formatCode>0.0" mA"</c:formatCode>
                <c:ptCount val="33"/>
                <c:pt idx="0">
                  <c:v>116.67</c:v>
                </c:pt>
                <c:pt idx="1">
                  <c:v>114.77</c:v>
                </c:pt>
                <c:pt idx="2">
                  <c:v>111.07</c:v>
                </c:pt>
                <c:pt idx="3">
                  <c:v>110.58</c:v>
                </c:pt>
                <c:pt idx="4">
                  <c:v>106.7</c:v>
                </c:pt>
                <c:pt idx="5">
                  <c:v>104.82</c:v>
                </c:pt>
                <c:pt idx="6">
                  <c:v>98.91</c:v>
                </c:pt>
                <c:pt idx="7">
                  <c:v>96.84</c:v>
                </c:pt>
                <c:pt idx="8">
                  <c:v>92.56</c:v>
                </c:pt>
                <c:pt idx="9">
                  <c:v>89.31</c:v>
                </c:pt>
                <c:pt idx="10">
                  <c:v>86</c:v>
                </c:pt>
                <c:pt idx="11">
                  <c:v>82.35</c:v>
                </c:pt>
                <c:pt idx="12">
                  <c:v>79.959999999999994</c:v>
                </c:pt>
                <c:pt idx="13">
                  <c:v>78.010000000000005</c:v>
                </c:pt>
                <c:pt idx="14">
                  <c:v>73.180000000000007</c:v>
                </c:pt>
                <c:pt idx="15">
                  <c:v>70.25</c:v>
                </c:pt>
                <c:pt idx="16">
                  <c:v>64.56</c:v>
                </c:pt>
                <c:pt idx="17">
                  <c:v>62.56</c:v>
                </c:pt>
                <c:pt idx="18">
                  <c:v>59.45</c:v>
                </c:pt>
                <c:pt idx="19">
                  <c:v>56.56</c:v>
                </c:pt>
                <c:pt idx="20">
                  <c:v>54.7</c:v>
                </c:pt>
                <c:pt idx="21">
                  <c:v>49.64</c:v>
                </c:pt>
                <c:pt idx="22">
                  <c:v>48.1</c:v>
                </c:pt>
                <c:pt idx="23">
                  <c:v>44.67</c:v>
                </c:pt>
                <c:pt idx="24">
                  <c:v>41.11</c:v>
                </c:pt>
                <c:pt idx="25">
                  <c:v>37.869999999999997</c:v>
                </c:pt>
                <c:pt idx="26">
                  <c:v>35.26</c:v>
                </c:pt>
                <c:pt idx="27">
                  <c:v>31.87</c:v>
                </c:pt>
                <c:pt idx="28">
                  <c:v>28.47</c:v>
                </c:pt>
                <c:pt idx="29">
                  <c:v>24.56</c:v>
                </c:pt>
                <c:pt idx="30">
                  <c:v>21.86</c:v>
                </c:pt>
                <c:pt idx="31">
                  <c:v>14.63</c:v>
                </c:pt>
                <c:pt idx="32">
                  <c:v>14.15</c:v>
                </c:pt>
              </c:numCache>
            </c:numRef>
          </c:xVal>
          <c:yVal>
            <c:numRef>
              <c:f>grafikon!$B$3:$B$35</c:f>
              <c:numCache>
                <c:formatCode>0.000" V"</c:formatCode>
                <c:ptCount val="33"/>
                <c:pt idx="0">
                  <c:v>1.47</c:v>
                </c:pt>
                <c:pt idx="1">
                  <c:v>1.472</c:v>
                </c:pt>
                <c:pt idx="2">
                  <c:v>1.474</c:v>
                </c:pt>
                <c:pt idx="3">
                  <c:v>1.4750000000000001</c:v>
                </c:pt>
                <c:pt idx="4">
                  <c:v>1.4770000000000001</c:v>
                </c:pt>
                <c:pt idx="5">
                  <c:v>1.478</c:v>
                </c:pt>
                <c:pt idx="6">
                  <c:v>1.4790000000000001</c:v>
                </c:pt>
                <c:pt idx="7">
                  <c:v>1.4810000000000001</c:v>
                </c:pt>
                <c:pt idx="8">
                  <c:v>1.482</c:v>
                </c:pt>
                <c:pt idx="9">
                  <c:v>1.4830000000000001</c:v>
                </c:pt>
                <c:pt idx="10">
                  <c:v>1.484</c:v>
                </c:pt>
                <c:pt idx="11">
                  <c:v>1.4850000000000001</c:v>
                </c:pt>
                <c:pt idx="12">
                  <c:v>1.4870000000000001</c:v>
                </c:pt>
                <c:pt idx="13">
                  <c:v>1.488</c:v>
                </c:pt>
                <c:pt idx="14">
                  <c:v>1.4910000000000001</c:v>
                </c:pt>
                <c:pt idx="15">
                  <c:v>1.4930000000000001</c:v>
                </c:pt>
                <c:pt idx="16">
                  <c:v>1.494</c:v>
                </c:pt>
                <c:pt idx="17">
                  <c:v>1.4950000000000001</c:v>
                </c:pt>
                <c:pt idx="18">
                  <c:v>1.496</c:v>
                </c:pt>
                <c:pt idx="19">
                  <c:v>1.4970000000000001</c:v>
                </c:pt>
                <c:pt idx="20">
                  <c:v>1.498</c:v>
                </c:pt>
                <c:pt idx="21">
                  <c:v>1.4990000000000001</c:v>
                </c:pt>
                <c:pt idx="22">
                  <c:v>1.502</c:v>
                </c:pt>
                <c:pt idx="23">
                  <c:v>1.5049999999999999</c:v>
                </c:pt>
                <c:pt idx="24">
                  <c:v>1.506</c:v>
                </c:pt>
                <c:pt idx="25">
                  <c:v>1.5069999999999999</c:v>
                </c:pt>
                <c:pt idx="26">
                  <c:v>1.508</c:v>
                </c:pt>
                <c:pt idx="27">
                  <c:v>1.51</c:v>
                </c:pt>
                <c:pt idx="28">
                  <c:v>1.5109999999999999</c:v>
                </c:pt>
                <c:pt idx="29">
                  <c:v>1.5129999999999999</c:v>
                </c:pt>
                <c:pt idx="30">
                  <c:v>1.5149999999999999</c:v>
                </c:pt>
                <c:pt idx="31">
                  <c:v>1.5189999999999999</c:v>
                </c:pt>
                <c:pt idx="32">
                  <c:v>1.5209999999999999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3-4176-A20B-8E74228F4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153840"/>
        <c:axId val="2052427920"/>
      </c:scatterChart>
      <c:valAx>
        <c:axId val="204315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I mA</a:t>
                </a:r>
              </a:p>
            </c:rich>
          </c:tx>
          <c:layout>
            <c:manualLayout>
              <c:xMode val="edge"/>
              <c:yMode val="edge"/>
              <c:x val="0.97770209015843834"/>
              <c:y val="0.89040240423278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&quot; m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52427920"/>
        <c:crosses val="autoZero"/>
        <c:crossBetween val="midCat"/>
      </c:valAx>
      <c:valAx>
        <c:axId val="20524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400"/>
                  <a:t>U</a:t>
                </a:r>
                <a:r>
                  <a:rPr lang="hu-HU" sz="1400" baseline="-25000"/>
                  <a:t>k</a:t>
                </a:r>
              </a:p>
            </c:rich>
          </c:tx>
          <c:layout>
            <c:manualLayout>
              <c:xMode val="edge"/>
              <c:yMode val="edge"/>
              <c:x val="5.5179876238097982E-2"/>
              <c:y val="1.348999308699151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00&quot; 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4315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38101</xdr:colOff>
      <xdr:row>2</xdr:row>
      <xdr:rowOff>1</xdr:rowOff>
    </xdr:from>
    <xdr:to>
      <xdr:col>23</xdr:col>
      <xdr:colOff>76200</xdr:colOff>
      <xdr:row>35</xdr:row>
      <xdr:rowOff>28575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309D3-E15B-491B-773D-D7B3AAC2E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28" name="Téglalap 27">
          <a:extLst>
            <a:ext uri="{FF2B5EF4-FFF2-40B4-BE49-F238E27FC236}">
              <a16:creationId xmlns:a16="http://schemas.microsoft.com/office/drawing/2014/main" id="{74E9F010-D395-4859-DDB3-FA621790637A}"/>
            </a:ext>
          </a:extLst>
        </xdr:cNvPr>
        <xdr:cNvSpPr/>
      </xdr:nvSpPr>
      <xdr:spPr>
        <a:xfrm>
          <a:off x="8124825" y="2066925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hu-HU" sz="1100">
              <a:solidFill>
                <a:srgbClr val="000000"/>
              </a:solidFill>
            </a:rPr>
            <a:t>◀ Legújabbak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1FBDA-93DD-454B-BB7A-DC98844117CE}" name="TBL_CUR" displayName="TBL_CUR" ref="A4:K5" totalsRowShown="0" headerRowDxfId="26" dataDxfId="25">
  <autoFilter ref="A4:K5" xr:uid="{CE41FBDA-93DD-454B-BB7A-DC98844117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6" xr3:uid="{C9471E37-55A6-48F4-88E1-6DBEE2626F75}" name="TIME" dataDxfId="24"/>
    <tableColumn id="7" xr3:uid="{F93F6F56-4933-4114-9664-1ADF3B98E20B}" name="CH1" dataDxfId="23"/>
    <tableColumn id="8" xr3:uid="{0A0B40C7-5876-447B-98B0-10CC3431C611}" name="CH2" dataDxfId="22"/>
    <tableColumn id="9" xr3:uid="{A625899E-F040-47BE-97A6-F56B22A8B41E}" name="CH3" dataDxfId="21"/>
    <tableColumn id="10" xr3:uid="{E0E83F5F-3EA4-45B6-8AA6-DF133412FB3A}" name="CH4" dataDxfId="20"/>
    <tableColumn id="11" xr3:uid="{35706518-F41E-443D-A594-8914FE858CB0}" name="CH5" dataDxfId="19"/>
    <tableColumn id="1" xr3:uid="{B325F425-A6F3-4B28-B21B-33176BAAF533}" name="CH6" dataDxfId="18"/>
    <tableColumn id="2" xr3:uid="{482FD0BB-CE41-4898-B88D-2A6E8379D543}" name="CH7" dataDxfId="17"/>
    <tableColumn id="3" xr3:uid="{DDAC3B24-BAD7-4AEF-AEA8-5968B7BB8D19}" name="CH8" dataDxfId="16"/>
    <tableColumn id="4" xr3:uid="{2095B649-5A70-493B-B2AE-40A574AEE259}" name="CH9" dataDxfId="15"/>
    <tableColumn id="5" xr3:uid="{C869AE08-8444-4A35-9130-FDEFB65679A0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38D19-182C-4CDA-9BC4-9202B9198A28}" name="TBL_HST" displayName="TBL_HST" ref="A7:K57" totalsRowShown="0" headerRowDxfId="13" dataDxfId="12">
  <autoFilter ref="A7:K57" xr:uid="{53038D19-182C-4CDA-9BC4-9202B9198A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6" xr3:uid="{98EDBE12-3B69-4884-AA8B-6D933E89AC91}" name="TIME" dataDxfId="11"/>
    <tableColumn id="7" xr3:uid="{C63EC25E-A37F-494D-A86C-D6A4D5956CBB}" name="CH1" dataDxfId="10"/>
    <tableColumn id="8" xr3:uid="{F62413D2-44F3-44B2-A402-8D21C62D0D97}" name="CH2" dataDxfId="9"/>
    <tableColumn id="9" xr3:uid="{A686D3A7-171C-49EF-826C-0DA4C9402841}" name="CH3" dataDxfId="8"/>
    <tableColumn id="10" xr3:uid="{BA100FDC-4EDD-452F-BB13-D33098E7531B}" name="CH4" dataDxfId="7"/>
    <tableColumn id="11" xr3:uid="{6EBBEDB0-1617-41F2-8D74-79D2A74493B4}" name="CH5" dataDxfId="6"/>
    <tableColumn id="1" xr3:uid="{CA16E071-5C85-4166-A785-EFA35AB0D085}" name="CH6" dataDxfId="5"/>
    <tableColumn id="2" xr3:uid="{93EB3A89-1123-4BCF-A87B-CB7048694A35}" name="CH7" dataDxfId="4"/>
    <tableColumn id="3" xr3:uid="{A127D334-DEBD-4848-9721-6FD49C853A0C}" name="CH8" dataDxfId="3"/>
    <tableColumn id="4" xr3:uid="{DFF1322C-5690-409B-91EE-233DFDB67ABD}" name="CH9" dataDxfId="2"/>
    <tableColumn id="5" xr3:uid="{DED50106-84BF-4A1D-9EBD-A46466BBBCA1}" name="CH10" dataDxfId="1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4412-CBD8-4EAC-8B2C-F9EC3E4C7E97}">
  <dimension ref="A1:C50"/>
  <sheetViews>
    <sheetView tabSelected="1" workbookViewId="0">
      <selection activeCell="AA31" sqref="AA31"/>
    </sheetView>
  </sheetViews>
  <sheetFormatPr defaultRowHeight="15" x14ac:dyDescent="0.25"/>
  <cols>
    <col min="1" max="1" width="10.85546875" bestFit="1" customWidth="1"/>
  </cols>
  <sheetData>
    <row r="1" spans="1:3" x14ac:dyDescent="0.25">
      <c r="C1" t="s">
        <v>42</v>
      </c>
    </row>
    <row r="2" spans="1:3" ht="18" x14ac:dyDescent="0.35">
      <c r="A2" s="24" t="s">
        <v>39</v>
      </c>
      <c r="B2" s="22" t="s">
        <v>47</v>
      </c>
      <c r="C2" s="25" t="s">
        <v>41</v>
      </c>
    </row>
    <row r="3" spans="1:3" x14ac:dyDescent="0.25">
      <c r="A3" s="23">
        <f>IF(ISERROR(VALUE('Bejövő adatok'!F8)),"",'Bejövő adatok'!F8)</f>
        <v>116.67</v>
      </c>
      <c r="B3" s="22">
        <f>IF(ISERROR(VALUE('Bejövő adatok'!E8)),"",'Bejövő adatok'!E8)</f>
        <v>1.47</v>
      </c>
    </row>
    <row r="4" spans="1:3" x14ac:dyDescent="0.25">
      <c r="A4" s="23">
        <f>IF(ISERROR(VALUE('Bejövő adatok'!F9)),"",'Bejövő adatok'!F9)</f>
        <v>114.77</v>
      </c>
      <c r="B4" s="22">
        <f>IF(ISERROR(VALUE('Bejövő adatok'!E9)),"",'Bejövő adatok'!E9)</f>
        <v>1.472</v>
      </c>
    </row>
    <row r="5" spans="1:3" x14ac:dyDescent="0.25">
      <c r="A5" s="23">
        <f>IF(ISERROR(VALUE('Bejövő adatok'!F10)),"",'Bejövő adatok'!F10)</f>
        <v>111.07</v>
      </c>
      <c r="B5" s="22">
        <f>IF(ISERROR(VALUE('Bejövő adatok'!E10)),"",'Bejövő adatok'!E10)</f>
        <v>1.474</v>
      </c>
    </row>
    <row r="6" spans="1:3" x14ac:dyDescent="0.25">
      <c r="A6" s="23">
        <f>IF(ISERROR(VALUE('Bejövő adatok'!F11)),"",'Bejövő adatok'!F11)</f>
        <v>110.58</v>
      </c>
      <c r="B6" s="22">
        <f>IF(ISERROR(VALUE('Bejövő adatok'!E11)),"",'Bejövő adatok'!E11)</f>
        <v>1.4750000000000001</v>
      </c>
    </row>
    <row r="7" spans="1:3" x14ac:dyDescent="0.25">
      <c r="A7" s="23">
        <f>IF(ISERROR(VALUE('Bejövő adatok'!F12)),"",'Bejövő adatok'!F12)</f>
        <v>106.7</v>
      </c>
      <c r="B7" s="22">
        <f>IF(ISERROR(VALUE('Bejövő adatok'!E12)),"",'Bejövő adatok'!E12)</f>
        <v>1.4770000000000001</v>
      </c>
    </row>
    <row r="8" spans="1:3" x14ac:dyDescent="0.25">
      <c r="A8" s="23">
        <f>IF(ISERROR(VALUE('Bejövő adatok'!F13)),"",'Bejövő adatok'!F13)</f>
        <v>104.82</v>
      </c>
      <c r="B8" s="22">
        <f>IF(ISERROR(VALUE('Bejövő adatok'!E13)),"",'Bejövő adatok'!E13)</f>
        <v>1.478</v>
      </c>
    </row>
    <row r="9" spans="1:3" x14ac:dyDescent="0.25">
      <c r="A9" s="23">
        <f>IF(ISERROR(VALUE('Bejövő adatok'!F14)),"",'Bejövő adatok'!F14)</f>
        <v>98.91</v>
      </c>
      <c r="B9" s="22">
        <f>IF(ISERROR(VALUE('Bejövő adatok'!E14)),"",'Bejövő adatok'!E14)</f>
        <v>1.4790000000000001</v>
      </c>
    </row>
    <row r="10" spans="1:3" x14ac:dyDescent="0.25">
      <c r="A10" s="23">
        <f>IF(ISERROR(VALUE('Bejövő adatok'!F15)),"",'Bejövő adatok'!F15)</f>
        <v>96.84</v>
      </c>
      <c r="B10" s="22">
        <f>IF(ISERROR(VALUE('Bejövő adatok'!E15)),"",'Bejövő adatok'!E15)</f>
        <v>1.4810000000000001</v>
      </c>
    </row>
    <row r="11" spans="1:3" x14ac:dyDescent="0.25">
      <c r="A11" s="23">
        <f>IF(ISERROR(VALUE('Bejövő adatok'!F16)),"",'Bejövő adatok'!F16)</f>
        <v>92.56</v>
      </c>
      <c r="B11" s="22">
        <f>IF(ISERROR(VALUE('Bejövő adatok'!E16)),"",'Bejövő adatok'!E16)</f>
        <v>1.482</v>
      </c>
    </row>
    <row r="12" spans="1:3" x14ac:dyDescent="0.25">
      <c r="A12" s="23">
        <f>IF(ISERROR(VALUE('Bejövő adatok'!F17)),"",'Bejövő adatok'!F17)</f>
        <v>89.31</v>
      </c>
      <c r="B12" s="22">
        <f>IF(ISERROR(VALUE('Bejövő adatok'!E17)),"",'Bejövő adatok'!E17)</f>
        <v>1.4830000000000001</v>
      </c>
    </row>
    <row r="13" spans="1:3" x14ac:dyDescent="0.25">
      <c r="A13" s="23">
        <f>IF(ISERROR(VALUE('Bejövő adatok'!F18)),"",'Bejövő adatok'!F18)</f>
        <v>86</v>
      </c>
      <c r="B13" s="22">
        <f>IF(ISERROR(VALUE('Bejövő adatok'!E18)),"",'Bejövő adatok'!E18)</f>
        <v>1.484</v>
      </c>
    </row>
    <row r="14" spans="1:3" x14ac:dyDescent="0.25">
      <c r="A14" s="23">
        <f>IF(ISERROR(VALUE('Bejövő adatok'!F19)),"",'Bejövő adatok'!F19)</f>
        <v>82.35</v>
      </c>
      <c r="B14" s="22">
        <f>IF(ISERROR(VALUE('Bejövő adatok'!E19)),"",'Bejövő adatok'!E19)</f>
        <v>1.4850000000000001</v>
      </c>
    </row>
    <row r="15" spans="1:3" x14ac:dyDescent="0.25">
      <c r="A15" s="23">
        <f>IF(ISERROR(VALUE('Bejövő adatok'!F20)),"",'Bejövő adatok'!F20)</f>
        <v>79.959999999999994</v>
      </c>
      <c r="B15" s="22">
        <f>IF(ISERROR(VALUE('Bejövő adatok'!E20)),"",'Bejövő adatok'!E20)</f>
        <v>1.4870000000000001</v>
      </c>
    </row>
    <row r="16" spans="1:3" x14ac:dyDescent="0.25">
      <c r="A16" s="23">
        <f>IF(ISERROR(VALUE('Bejövő adatok'!F21)),"",'Bejövő adatok'!F21)</f>
        <v>78.010000000000005</v>
      </c>
      <c r="B16" s="22">
        <f>IF(ISERROR(VALUE('Bejövő adatok'!E21)),"",'Bejövő adatok'!E21)</f>
        <v>1.488</v>
      </c>
    </row>
    <row r="17" spans="1:2" x14ac:dyDescent="0.25">
      <c r="A17" s="23">
        <f>IF(ISERROR(VALUE('Bejövő adatok'!F22)),"",'Bejövő adatok'!F22)</f>
        <v>73.180000000000007</v>
      </c>
      <c r="B17" s="22">
        <f>IF(ISERROR(VALUE('Bejövő adatok'!E22)),"",'Bejövő adatok'!E22)</f>
        <v>1.4910000000000001</v>
      </c>
    </row>
    <row r="18" spans="1:2" x14ac:dyDescent="0.25">
      <c r="A18" s="23">
        <f>IF(ISERROR(VALUE('Bejövő adatok'!F23)),"",'Bejövő adatok'!F23)</f>
        <v>70.25</v>
      </c>
      <c r="B18" s="22">
        <f>IF(ISERROR(VALUE('Bejövő adatok'!E23)),"",'Bejövő adatok'!E23)</f>
        <v>1.4930000000000001</v>
      </c>
    </row>
    <row r="19" spans="1:2" x14ac:dyDescent="0.25">
      <c r="A19" s="23">
        <f>IF(ISERROR(VALUE('Bejövő adatok'!F24)),"",'Bejövő adatok'!F24)</f>
        <v>64.56</v>
      </c>
      <c r="B19" s="22">
        <f>IF(ISERROR(VALUE('Bejövő adatok'!E24)),"",'Bejövő adatok'!E24)</f>
        <v>1.494</v>
      </c>
    </row>
    <row r="20" spans="1:2" x14ac:dyDescent="0.25">
      <c r="A20" s="23">
        <f>IF(ISERROR(VALUE('Bejövő adatok'!F25)),"",'Bejövő adatok'!F25)</f>
        <v>62.56</v>
      </c>
      <c r="B20" s="22">
        <f>IF(ISERROR(VALUE('Bejövő adatok'!E25)),"",'Bejövő adatok'!E25)</f>
        <v>1.4950000000000001</v>
      </c>
    </row>
    <row r="21" spans="1:2" x14ac:dyDescent="0.25">
      <c r="A21" s="23">
        <f>IF(ISERROR(VALUE('Bejövő adatok'!F26)),"",'Bejövő adatok'!F26)</f>
        <v>59.45</v>
      </c>
      <c r="B21" s="22">
        <f>IF(ISERROR(VALUE('Bejövő adatok'!E26)),"",'Bejövő adatok'!E26)</f>
        <v>1.496</v>
      </c>
    </row>
    <row r="22" spans="1:2" x14ac:dyDescent="0.25">
      <c r="A22" s="23">
        <f>IF(ISERROR(VALUE('Bejövő adatok'!F27)),"",'Bejövő adatok'!F27)</f>
        <v>56.56</v>
      </c>
      <c r="B22" s="22">
        <f>IF(ISERROR(VALUE('Bejövő adatok'!E27)),"",'Bejövő adatok'!E27)</f>
        <v>1.4970000000000001</v>
      </c>
    </row>
    <row r="23" spans="1:2" x14ac:dyDescent="0.25">
      <c r="A23" s="23">
        <f>IF(ISERROR(VALUE('Bejövő adatok'!F28)),"",'Bejövő adatok'!F28)</f>
        <v>54.7</v>
      </c>
      <c r="B23" s="22">
        <f>IF(ISERROR(VALUE('Bejövő adatok'!E28)),"",'Bejövő adatok'!E28)</f>
        <v>1.498</v>
      </c>
    </row>
    <row r="24" spans="1:2" x14ac:dyDescent="0.25">
      <c r="A24" s="23">
        <f>IF(ISERROR(VALUE('Bejövő adatok'!F29)),"",'Bejövő adatok'!F29)</f>
        <v>49.64</v>
      </c>
      <c r="B24" s="22">
        <f>IF(ISERROR(VALUE('Bejövő adatok'!E29)),"",'Bejövő adatok'!E29)</f>
        <v>1.4990000000000001</v>
      </c>
    </row>
    <row r="25" spans="1:2" x14ac:dyDescent="0.25">
      <c r="A25" s="23">
        <f>IF(ISERROR(VALUE('Bejövő adatok'!F30)),"",'Bejövő adatok'!F30)</f>
        <v>48.1</v>
      </c>
      <c r="B25" s="22">
        <f>IF(ISERROR(VALUE('Bejövő adatok'!E30)),"",'Bejövő adatok'!E30)</f>
        <v>1.502</v>
      </c>
    </row>
    <row r="26" spans="1:2" x14ac:dyDescent="0.25">
      <c r="A26" s="23">
        <f>IF(ISERROR(VALUE('Bejövő adatok'!F31)),"",'Bejövő adatok'!F31)</f>
        <v>44.67</v>
      </c>
      <c r="B26" s="22">
        <f>IF(ISERROR(VALUE('Bejövő adatok'!E31)),"",'Bejövő adatok'!E31)</f>
        <v>1.5049999999999999</v>
      </c>
    </row>
    <row r="27" spans="1:2" x14ac:dyDescent="0.25">
      <c r="A27" s="23">
        <f>IF(ISERROR(VALUE('Bejövő adatok'!F32)),"",'Bejövő adatok'!F32)</f>
        <v>41.11</v>
      </c>
      <c r="B27" s="22">
        <f>IF(ISERROR(VALUE('Bejövő adatok'!E32)),"",'Bejövő adatok'!E32)</f>
        <v>1.506</v>
      </c>
    </row>
    <row r="28" spans="1:2" x14ac:dyDescent="0.25">
      <c r="A28" s="23">
        <f>IF(ISERROR(VALUE('Bejövő adatok'!F33)),"",'Bejövő adatok'!F33)</f>
        <v>37.869999999999997</v>
      </c>
      <c r="B28" s="22">
        <f>IF(ISERROR(VALUE('Bejövő adatok'!E33)),"",'Bejövő adatok'!E33)</f>
        <v>1.5069999999999999</v>
      </c>
    </row>
    <row r="29" spans="1:2" x14ac:dyDescent="0.25">
      <c r="A29" s="23">
        <f>IF(ISERROR(VALUE('Bejövő adatok'!F34)),"",'Bejövő adatok'!F34)</f>
        <v>35.26</v>
      </c>
      <c r="B29" s="22">
        <f>IF(ISERROR(VALUE('Bejövő adatok'!E34)),"",'Bejövő adatok'!E34)</f>
        <v>1.508</v>
      </c>
    </row>
    <row r="30" spans="1:2" x14ac:dyDescent="0.25">
      <c r="A30" s="23">
        <f>IF(ISERROR(VALUE('Bejövő adatok'!F35)),"",'Bejövő adatok'!F35)</f>
        <v>31.87</v>
      </c>
      <c r="B30" s="22">
        <f>IF(ISERROR(VALUE('Bejövő adatok'!E35)),"",'Bejövő adatok'!E35)</f>
        <v>1.51</v>
      </c>
    </row>
    <row r="31" spans="1:2" x14ac:dyDescent="0.25">
      <c r="A31" s="23">
        <f>IF(ISERROR(VALUE('Bejövő adatok'!F36)),"",'Bejövő adatok'!F36)</f>
        <v>28.47</v>
      </c>
      <c r="B31" s="22">
        <f>IF(ISERROR(VALUE('Bejövő adatok'!E36)),"",'Bejövő adatok'!E36)</f>
        <v>1.5109999999999999</v>
      </c>
    </row>
    <row r="32" spans="1:2" x14ac:dyDescent="0.25">
      <c r="A32" s="23">
        <f>IF(ISERROR(VALUE('Bejövő adatok'!F37)),"",'Bejövő adatok'!F37)</f>
        <v>24.56</v>
      </c>
      <c r="B32" s="22">
        <f>IF(ISERROR(VALUE('Bejövő adatok'!E37)),"",'Bejövő adatok'!E37)</f>
        <v>1.5129999999999999</v>
      </c>
    </row>
    <row r="33" spans="1:2" x14ac:dyDescent="0.25">
      <c r="A33" s="23">
        <f>IF(ISERROR(VALUE('Bejövő adatok'!F38)),"",'Bejövő adatok'!F38)</f>
        <v>21.86</v>
      </c>
      <c r="B33" s="22">
        <f>IF(ISERROR(VALUE('Bejövő adatok'!E38)),"",'Bejövő adatok'!E38)</f>
        <v>1.5149999999999999</v>
      </c>
    </row>
    <row r="34" spans="1:2" x14ac:dyDescent="0.25">
      <c r="A34" s="23">
        <f>IF(ISERROR(VALUE('Bejövő adatok'!F39)),"",'Bejövő adatok'!F39)</f>
        <v>14.63</v>
      </c>
      <c r="B34" s="22">
        <f>IF(ISERROR(VALUE('Bejövő adatok'!E39)),"",'Bejövő adatok'!E39)</f>
        <v>1.5189999999999999</v>
      </c>
    </row>
    <row r="35" spans="1:2" x14ac:dyDescent="0.25">
      <c r="A35" s="23">
        <f>IF(ISERROR(VALUE('Bejövő adatok'!F40)),"",'Bejövő adatok'!F40)</f>
        <v>14.15</v>
      </c>
      <c r="B35" s="22">
        <f>IF(ISERROR(VALUE('Bejövő adatok'!E40)),"",'Bejövő adatok'!E40)</f>
        <v>1.5209999999999999</v>
      </c>
    </row>
    <row r="36" spans="1:2" x14ac:dyDescent="0.25">
      <c r="A36" s="23"/>
      <c r="B36" s="22"/>
    </row>
    <row r="37" spans="1:2" x14ac:dyDescent="0.25">
      <c r="A37" s="23"/>
      <c r="B37" s="22"/>
    </row>
    <row r="38" spans="1:2" x14ac:dyDescent="0.25">
      <c r="A38" s="23"/>
      <c r="B38" s="22"/>
    </row>
    <row r="39" spans="1:2" x14ac:dyDescent="0.25">
      <c r="A39" s="23"/>
      <c r="B39" s="22"/>
    </row>
    <row r="40" spans="1:2" x14ac:dyDescent="0.25">
      <c r="A40" s="23"/>
      <c r="B40" s="22"/>
    </row>
    <row r="41" spans="1:2" x14ac:dyDescent="0.25">
      <c r="A41" s="23"/>
      <c r="B41" s="22"/>
    </row>
    <row r="42" spans="1:2" x14ac:dyDescent="0.25">
      <c r="A42" s="23"/>
      <c r="B42" s="22"/>
    </row>
    <row r="43" spans="1:2" x14ac:dyDescent="0.25">
      <c r="A43" s="23"/>
      <c r="B43" s="22"/>
    </row>
    <row r="44" spans="1:2" x14ac:dyDescent="0.25">
      <c r="A44" s="23"/>
      <c r="B44" s="22"/>
    </row>
    <row r="45" spans="1:2" x14ac:dyDescent="0.25">
      <c r="A45" s="23"/>
      <c r="B45" s="22"/>
    </row>
    <row r="46" spans="1:2" x14ac:dyDescent="0.25">
      <c r="A46" s="23"/>
      <c r="B46" s="22"/>
    </row>
    <row r="47" spans="1:2" x14ac:dyDescent="0.25">
      <c r="A47" s="23"/>
      <c r="B47" s="22"/>
    </row>
    <row r="48" spans="1:2" x14ac:dyDescent="0.25">
      <c r="A48" s="23"/>
      <c r="B48" s="22"/>
    </row>
    <row r="49" spans="1:2" x14ac:dyDescent="0.25">
      <c r="A49" s="23"/>
      <c r="B49" s="22"/>
    </row>
    <row r="50" spans="1:2" x14ac:dyDescent="0.25">
      <c r="A50" s="23"/>
      <c r="B50" s="22"/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B8D2D3B-EA36-411E-8EFD-DB4C2B166845}">
            <xm:f>'Bejövő adatok'!$B8="PWM"</xm:f>
            <x14:dxf>
              <fill>
                <patternFill>
                  <bgColor rgb="FF92D050"/>
                </patternFill>
              </fill>
            </x14:dxf>
          </x14:cfRule>
          <xm:sqref>A3:A35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1D2C-0D08-46C6-A6AE-2E5EEEA55BF8}">
  <dimension ref="A1:K207"/>
  <sheetViews>
    <sheetView workbookViewId="0">
      <selection activeCell="H45" sqref="H45"/>
    </sheetView>
  </sheetViews>
  <sheetFormatPr defaultRowHeight="15" x14ac:dyDescent="0.25"/>
  <cols>
    <col min="1" max="1" width="14.7109375" style="1" customWidth="1"/>
    <col min="2" max="11" width="10.7109375" style="1" customWidth="1"/>
    <col min="12" max="12" width="20.7109375" style="1" customWidth="1"/>
    <col min="13" max="16384" width="9.140625" style="1"/>
  </cols>
  <sheetData>
    <row r="1" spans="1:11" ht="30.75" x14ac:dyDescent="0.55000000000000004">
      <c r="A1" s="36" t="s">
        <v>44</v>
      </c>
      <c r="B1" s="36"/>
      <c r="C1" s="36"/>
      <c r="D1" s="36"/>
      <c r="E1" s="36"/>
      <c r="F1" s="36"/>
      <c r="G1" s="36"/>
      <c r="H1" s="36"/>
      <c r="I1" s="36"/>
      <c r="J1" s="36"/>
    </row>
    <row r="2" spans="1:11" ht="16.5" x14ac:dyDescent="0.25">
      <c r="A2" s="37" t="s">
        <v>30</v>
      </c>
      <c r="B2" s="37"/>
      <c r="C2" s="37"/>
      <c r="D2" s="37"/>
      <c r="E2" s="37"/>
      <c r="F2" s="37"/>
      <c r="G2" s="37"/>
      <c r="H2" s="37"/>
      <c r="I2" s="37"/>
      <c r="J2" s="37"/>
    </row>
    <row r="3" spans="1:11" ht="33.6" customHeight="1" x14ac:dyDescent="0.35">
      <c r="A3" s="38" t="s">
        <v>31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x14ac:dyDescent="0.25">
      <c r="A4" s="16" t="s">
        <v>32</v>
      </c>
      <c r="B4" s="16" t="s">
        <v>10</v>
      </c>
      <c r="C4" s="16" t="s">
        <v>12</v>
      </c>
      <c r="D4" s="16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</row>
    <row r="5" spans="1:11" ht="19.5" customHeight="1" x14ac:dyDescent="0.25">
      <c r="A5" s="17">
        <v>46252.44390849537</v>
      </c>
      <c r="B5" s="20">
        <v>254</v>
      </c>
      <c r="C5" s="20">
        <v>2.6960000000000002</v>
      </c>
      <c r="D5" s="20">
        <v>1.5089999999999999</v>
      </c>
      <c r="E5" s="20">
        <v>1.47</v>
      </c>
      <c r="F5" s="20">
        <v>116.67</v>
      </c>
      <c r="G5" s="26"/>
      <c r="H5" s="26"/>
      <c r="I5" s="26"/>
      <c r="J5" s="26"/>
      <c r="K5" s="26"/>
    </row>
    <row r="6" spans="1:11" ht="33.6" customHeight="1" x14ac:dyDescent="0.35">
      <c r="A6" s="39" t="s">
        <v>33</v>
      </c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1" x14ac:dyDescent="0.25">
      <c r="A7" s="16" t="s">
        <v>32</v>
      </c>
      <c r="B7" s="16" t="s">
        <v>10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</row>
    <row r="8" spans="1:11" ht="19.5" customHeight="1" x14ac:dyDescent="0.25">
      <c r="A8" s="27">
        <v>46252.44390849537</v>
      </c>
      <c r="B8" s="29">
        <v>254</v>
      </c>
      <c r="C8" s="29">
        <v>2.6960000000000002</v>
      </c>
      <c r="D8" s="29">
        <v>1.5089999999999999</v>
      </c>
      <c r="E8" s="29">
        <v>1.47</v>
      </c>
      <c r="F8" s="29">
        <v>116.67</v>
      </c>
      <c r="G8" s="28"/>
      <c r="H8" s="28"/>
      <c r="I8" s="28"/>
      <c r="J8" s="28"/>
      <c r="K8" s="28"/>
    </row>
    <row r="9" spans="1:11" ht="19.5" customHeight="1" x14ac:dyDescent="0.25">
      <c r="A9" s="19">
        <v>46252.443900231483</v>
      </c>
      <c r="B9" s="21">
        <v>247</v>
      </c>
      <c r="C9" s="21">
        <v>2.6179999999999999</v>
      </c>
      <c r="D9" s="21">
        <v>1.5089999999999999</v>
      </c>
      <c r="E9" s="21">
        <v>1.472</v>
      </c>
      <c r="F9" s="21">
        <v>114.77</v>
      </c>
      <c r="G9" s="18"/>
      <c r="H9" s="18"/>
      <c r="I9" s="18"/>
      <c r="J9" s="18"/>
      <c r="K9" s="18"/>
    </row>
    <row r="10" spans="1:11" ht="19.5" customHeight="1" x14ac:dyDescent="0.25">
      <c r="A10" s="19">
        <v>46252.443892210649</v>
      </c>
      <c r="B10" s="21">
        <v>240</v>
      </c>
      <c r="C10" s="21">
        <v>2.5409999999999999</v>
      </c>
      <c r="D10" s="21">
        <v>1.51</v>
      </c>
      <c r="E10" s="21">
        <v>1.474</v>
      </c>
      <c r="F10" s="21">
        <v>111.07</v>
      </c>
      <c r="G10" s="18"/>
      <c r="H10" s="18"/>
      <c r="I10" s="18"/>
      <c r="J10" s="18"/>
      <c r="K10" s="18"/>
    </row>
    <row r="11" spans="1:11" ht="19.5" customHeight="1" x14ac:dyDescent="0.25">
      <c r="A11" s="19">
        <v>46252.443883877313</v>
      </c>
      <c r="B11" s="21">
        <v>233</v>
      </c>
      <c r="C11" s="21">
        <v>2.4660000000000002</v>
      </c>
      <c r="D11" s="21">
        <v>1.51</v>
      </c>
      <c r="E11" s="21">
        <v>1.4750000000000001</v>
      </c>
      <c r="F11" s="21">
        <v>110.58</v>
      </c>
      <c r="G11" s="18"/>
      <c r="H11" s="18"/>
      <c r="I11" s="18"/>
      <c r="J11" s="18"/>
      <c r="K11" s="18"/>
    </row>
    <row r="12" spans="1:11" ht="19.5" customHeight="1" x14ac:dyDescent="0.25">
      <c r="A12" s="19">
        <v>46252.443875798614</v>
      </c>
      <c r="B12" s="21">
        <v>226</v>
      </c>
      <c r="C12" s="21">
        <v>2.3919999999999999</v>
      </c>
      <c r="D12" s="21">
        <v>1.51</v>
      </c>
      <c r="E12" s="21">
        <v>1.4770000000000001</v>
      </c>
      <c r="F12" s="21">
        <v>106.7</v>
      </c>
      <c r="G12" s="18"/>
      <c r="H12" s="18"/>
      <c r="I12" s="18"/>
      <c r="J12" s="18"/>
      <c r="K12" s="18"/>
    </row>
    <row r="13" spans="1:11" ht="19.5" customHeight="1" x14ac:dyDescent="0.25">
      <c r="A13" s="19">
        <v>46252.443867534719</v>
      </c>
      <c r="B13" s="21">
        <v>219</v>
      </c>
      <c r="C13" s="21">
        <v>2.3180000000000001</v>
      </c>
      <c r="D13" s="21">
        <v>1.5109999999999999</v>
      </c>
      <c r="E13" s="21">
        <v>1.478</v>
      </c>
      <c r="F13" s="21">
        <v>104.82</v>
      </c>
      <c r="G13" s="18"/>
      <c r="H13" s="18"/>
      <c r="I13" s="18"/>
      <c r="J13" s="18"/>
      <c r="K13" s="18"/>
    </row>
    <row r="14" spans="1:11" ht="19.5" customHeight="1" x14ac:dyDescent="0.25">
      <c r="A14" s="19">
        <v>46252.443859282408</v>
      </c>
      <c r="B14" s="21">
        <v>212</v>
      </c>
      <c r="C14" s="21">
        <v>2.246</v>
      </c>
      <c r="D14" s="21">
        <v>1.5109999999999999</v>
      </c>
      <c r="E14" s="21">
        <v>1.4790000000000001</v>
      </c>
      <c r="F14" s="21">
        <v>98.91</v>
      </c>
      <c r="G14" s="18"/>
      <c r="H14" s="18"/>
      <c r="I14" s="18"/>
      <c r="J14" s="18"/>
      <c r="K14" s="18"/>
    </row>
    <row r="15" spans="1:11" ht="19.5" customHeight="1" x14ac:dyDescent="0.25">
      <c r="A15" s="19">
        <v>46252.443851041666</v>
      </c>
      <c r="B15" s="21">
        <v>205</v>
      </c>
      <c r="C15" s="21">
        <v>2.1720000000000002</v>
      </c>
      <c r="D15" s="21">
        <v>1.512</v>
      </c>
      <c r="E15" s="21">
        <v>1.4810000000000001</v>
      </c>
      <c r="F15" s="21">
        <v>96.84</v>
      </c>
      <c r="G15" s="18"/>
      <c r="H15" s="18"/>
      <c r="I15" s="18"/>
      <c r="J15" s="18"/>
      <c r="K15" s="18"/>
    </row>
    <row r="16" spans="1:11" ht="19.5" customHeight="1" x14ac:dyDescent="0.25">
      <c r="A16" s="19">
        <v>46252.443842928238</v>
      </c>
      <c r="B16" s="21">
        <v>198</v>
      </c>
      <c r="C16" s="21">
        <v>2.101</v>
      </c>
      <c r="D16" s="21">
        <v>1.512</v>
      </c>
      <c r="E16" s="21">
        <v>1.482</v>
      </c>
      <c r="F16" s="21">
        <v>92.56</v>
      </c>
      <c r="G16" s="18"/>
      <c r="H16" s="18"/>
      <c r="I16" s="18"/>
      <c r="J16" s="18"/>
      <c r="K16" s="18"/>
    </row>
    <row r="17" spans="1:11" ht="19.5" customHeight="1" x14ac:dyDescent="0.25">
      <c r="A17" s="19">
        <v>46252.443834733793</v>
      </c>
      <c r="B17" s="21">
        <v>191</v>
      </c>
      <c r="C17" s="21">
        <v>2.0289999999999999</v>
      </c>
      <c r="D17" s="21">
        <v>1.512</v>
      </c>
      <c r="E17" s="21">
        <v>1.4830000000000001</v>
      </c>
      <c r="F17" s="21">
        <v>89.31</v>
      </c>
      <c r="G17" s="18"/>
      <c r="H17" s="18"/>
      <c r="I17" s="18"/>
      <c r="J17" s="18"/>
      <c r="K17" s="18"/>
    </row>
    <row r="18" spans="1:11" ht="19.5" customHeight="1" x14ac:dyDescent="0.25">
      <c r="A18" s="19">
        <v>46252.443826388888</v>
      </c>
      <c r="B18" s="21">
        <v>184</v>
      </c>
      <c r="C18" s="21">
        <v>1.956</v>
      </c>
      <c r="D18" s="21">
        <v>1.5129999999999999</v>
      </c>
      <c r="E18" s="21">
        <v>1.484</v>
      </c>
      <c r="F18" s="21">
        <v>86</v>
      </c>
      <c r="G18" s="18"/>
      <c r="H18" s="18"/>
      <c r="I18" s="18"/>
      <c r="J18" s="18"/>
      <c r="K18" s="18"/>
    </row>
    <row r="19" spans="1:11" ht="19.5" customHeight="1" x14ac:dyDescent="0.25">
      <c r="A19" s="19">
        <v>46252.443818356478</v>
      </c>
      <c r="B19" s="21">
        <v>177</v>
      </c>
      <c r="C19" s="21">
        <v>1.883</v>
      </c>
      <c r="D19" s="21">
        <v>1.5129999999999999</v>
      </c>
      <c r="E19" s="21">
        <v>1.4850000000000001</v>
      </c>
      <c r="F19" s="21">
        <v>82.35</v>
      </c>
      <c r="G19" s="18"/>
      <c r="H19" s="18"/>
      <c r="I19" s="18"/>
      <c r="J19" s="18"/>
      <c r="K19" s="18"/>
    </row>
    <row r="20" spans="1:11" ht="19.5" customHeight="1" x14ac:dyDescent="0.25">
      <c r="A20" s="19">
        <v>46252.44381005787</v>
      </c>
      <c r="B20" s="21">
        <v>170</v>
      </c>
      <c r="C20" s="21">
        <v>1.8080000000000001</v>
      </c>
      <c r="D20" s="21">
        <v>1.5129999999999999</v>
      </c>
      <c r="E20" s="21">
        <v>1.4870000000000001</v>
      </c>
      <c r="F20" s="21">
        <v>79.959999999999994</v>
      </c>
      <c r="G20" s="18"/>
      <c r="H20" s="18"/>
      <c r="I20" s="18"/>
      <c r="J20" s="18"/>
      <c r="K20" s="18"/>
    </row>
    <row r="21" spans="1:11" ht="19.5" customHeight="1" x14ac:dyDescent="0.25">
      <c r="A21" s="19">
        <v>46252.443801886577</v>
      </c>
      <c r="B21" s="21">
        <v>163</v>
      </c>
      <c r="C21" s="21">
        <v>1.7350000000000001</v>
      </c>
      <c r="D21" s="21">
        <v>1.514</v>
      </c>
      <c r="E21" s="21">
        <v>1.488</v>
      </c>
      <c r="F21" s="21">
        <v>78.010000000000005</v>
      </c>
      <c r="G21" s="18"/>
      <c r="H21" s="18"/>
      <c r="I21" s="18"/>
      <c r="J21" s="18"/>
      <c r="K21" s="18"/>
    </row>
    <row r="22" spans="1:11" ht="19.5" customHeight="1" x14ac:dyDescent="0.25">
      <c r="A22" s="19">
        <v>46252.443793738428</v>
      </c>
      <c r="B22" s="21">
        <v>156</v>
      </c>
      <c r="C22" s="21">
        <v>1.661</v>
      </c>
      <c r="D22" s="21">
        <v>1.5149999999999999</v>
      </c>
      <c r="E22" s="21">
        <v>1.4910000000000001</v>
      </c>
      <c r="F22" s="21">
        <v>73.180000000000007</v>
      </c>
      <c r="G22" s="18"/>
      <c r="H22" s="18"/>
      <c r="I22" s="18"/>
      <c r="J22" s="18"/>
      <c r="K22" s="18"/>
    </row>
    <row r="23" spans="1:11" ht="19.5" customHeight="1" x14ac:dyDescent="0.25">
      <c r="A23" s="19">
        <v>46252.443785532407</v>
      </c>
      <c r="B23" s="21">
        <v>149</v>
      </c>
      <c r="C23" s="21">
        <v>1.587</v>
      </c>
      <c r="D23" s="21">
        <v>1.5149999999999999</v>
      </c>
      <c r="E23" s="21">
        <v>1.4930000000000001</v>
      </c>
      <c r="F23" s="21">
        <v>70.25</v>
      </c>
      <c r="G23" s="18"/>
      <c r="H23" s="18"/>
      <c r="I23" s="18"/>
      <c r="J23" s="18"/>
      <c r="K23" s="18"/>
    </row>
    <row r="24" spans="1:11" ht="19.5" customHeight="1" x14ac:dyDescent="0.25">
      <c r="A24" s="19">
        <v>46252.443777210647</v>
      </c>
      <c r="B24" s="21">
        <v>142</v>
      </c>
      <c r="C24" s="21">
        <v>1.5109999999999999</v>
      </c>
      <c r="D24" s="21">
        <v>1.5149999999999999</v>
      </c>
      <c r="E24" s="21">
        <v>1.494</v>
      </c>
      <c r="F24" s="21">
        <v>64.56</v>
      </c>
      <c r="G24" s="18"/>
      <c r="H24" s="18"/>
      <c r="I24" s="18"/>
      <c r="J24" s="18"/>
      <c r="K24" s="18"/>
    </row>
    <row r="25" spans="1:11" ht="19.5" customHeight="1" x14ac:dyDescent="0.25">
      <c r="A25" s="19">
        <v>46252.44376898148</v>
      </c>
      <c r="B25" s="21">
        <v>135</v>
      </c>
      <c r="C25" s="21">
        <v>1.4359999999999999</v>
      </c>
      <c r="D25" s="21">
        <v>1.516</v>
      </c>
      <c r="E25" s="21">
        <v>1.4950000000000001</v>
      </c>
      <c r="F25" s="21">
        <v>62.56</v>
      </c>
      <c r="G25" s="18"/>
      <c r="H25" s="18"/>
      <c r="I25" s="18"/>
      <c r="J25" s="18"/>
      <c r="K25" s="18"/>
    </row>
    <row r="26" spans="1:11" ht="19.5" customHeight="1" x14ac:dyDescent="0.25">
      <c r="A26" s="19">
        <v>46252.443760879629</v>
      </c>
      <c r="B26" s="21">
        <v>128</v>
      </c>
      <c r="C26" s="21">
        <v>1.361</v>
      </c>
      <c r="D26" s="21">
        <v>1.5169999999999999</v>
      </c>
      <c r="E26" s="21">
        <v>1.496</v>
      </c>
      <c r="F26" s="21">
        <v>59.45</v>
      </c>
      <c r="G26" s="18"/>
      <c r="H26" s="18"/>
      <c r="I26" s="18"/>
      <c r="J26" s="18"/>
      <c r="K26" s="18"/>
    </row>
    <row r="27" spans="1:11" ht="19.5" customHeight="1" x14ac:dyDescent="0.25">
      <c r="A27" s="19">
        <v>46252.443752615742</v>
      </c>
      <c r="B27" s="21">
        <v>121</v>
      </c>
      <c r="C27" s="21">
        <v>1.2849999999999999</v>
      </c>
      <c r="D27" s="21">
        <v>1.518</v>
      </c>
      <c r="E27" s="21">
        <v>1.4970000000000001</v>
      </c>
      <c r="F27" s="21">
        <v>56.56</v>
      </c>
      <c r="G27" s="18"/>
      <c r="H27" s="18"/>
      <c r="I27" s="18"/>
      <c r="J27" s="18"/>
      <c r="K27" s="18"/>
    </row>
    <row r="28" spans="1:11" ht="19.5" customHeight="1" x14ac:dyDescent="0.25">
      <c r="A28" s="19">
        <v>46252.443744363423</v>
      </c>
      <c r="B28" s="21">
        <v>114</v>
      </c>
      <c r="C28" s="21">
        <v>1.21</v>
      </c>
      <c r="D28" s="21">
        <v>1.518</v>
      </c>
      <c r="E28" s="21">
        <v>1.498</v>
      </c>
      <c r="F28" s="21">
        <v>54.7</v>
      </c>
      <c r="G28" s="18"/>
      <c r="H28" s="18"/>
      <c r="I28" s="18"/>
      <c r="J28" s="18"/>
      <c r="K28" s="18"/>
    </row>
    <row r="29" spans="1:11" ht="19.5" customHeight="1" x14ac:dyDescent="0.25">
      <c r="A29" s="19">
        <v>46252.443736284724</v>
      </c>
      <c r="B29" s="21">
        <v>107</v>
      </c>
      <c r="C29" s="21">
        <v>1.1339999999999999</v>
      </c>
      <c r="D29" s="21">
        <v>1.52</v>
      </c>
      <c r="E29" s="21">
        <v>1.4990000000000001</v>
      </c>
      <c r="F29" s="21">
        <v>49.64</v>
      </c>
      <c r="G29" s="18"/>
      <c r="H29" s="18"/>
      <c r="I29" s="18"/>
      <c r="J29" s="18"/>
      <c r="K29" s="18"/>
    </row>
    <row r="30" spans="1:11" ht="19.5" customHeight="1" x14ac:dyDescent="0.25">
      <c r="A30" s="19">
        <v>46252.443728043982</v>
      </c>
      <c r="B30" s="21">
        <v>100</v>
      </c>
      <c r="C30" s="21">
        <v>1.06</v>
      </c>
      <c r="D30" s="21">
        <v>1.5209999999999999</v>
      </c>
      <c r="E30" s="21">
        <v>1.502</v>
      </c>
      <c r="F30" s="21">
        <v>48.1</v>
      </c>
      <c r="G30" s="18"/>
      <c r="H30" s="18"/>
      <c r="I30" s="18"/>
      <c r="J30" s="18"/>
      <c r="K30" s="18"/>
    </row>
    <row r="31" spans="1:11" ht="19.5" customHeight="1" x14ac:dyDescent="0.25">
      <c r="A31" s="19">
        <v>46252.443719780094</v>
      </c>
      <c r="B31" s="21">
        <v>93</v>
      </c>
      <c r="C31" s="21">
        <v>0.98499999999999999</v>
      </c>
      <c r="D31" s="21">
        <v>1.522</v>
      </c>
      <c r="E31" s="21">
        <v>1.5049999999999999</v>
      </c>
      <c r="F31" s="21">
        <v>44.67</v>
      </c>
      <c r="G31" s="18"/>
      <c r="H31" s="18"/>
      <c r="I31" s="18"/>
      <c r="J31" s="18"/>
      <c r="K31" s="18"/>
    </row>
    <row r="32" spans="1:11" ht="19.5" customHeight="1" x14ac:dyDescent="0.25">
      <c r="A32" s="19">
        <v>46252.443711666667</v>
      </c>
      <c r="B32" s="21">
        <v>86</v>
      </c>
      <c r="C32" s="21">
        <v>0.91100000000000003</v>
      </c>
      <c r="D32" s="21">
        <v>1.522</v>
      </c>
      <c r="E32" s="21">
        <v>1.506</v>
      </c>
      <c r="F32" s="21">
        <v>41.11</v>
      </c>
      <c r="G32" s="18"/>
      <c r="H32" s="18"/>
      <c r="I32" s="18"/>
      <c r="J32" s="18"/>
      <c r="K32" s="18"/>
    </row>
    <row r="33" spans="1:11" ht="19.5" customHeight="1" x14ac:dyDescent="0.25">
      <c r="A33" s="19">
        <v>46252.443703472221</v>
      </c>
      <c r="B33" s="21">
        <v>79</v>
      </c>
      <c r="C33" s="21">
        <v>0.83699999999999997</v>
      </c>
      <c r="D33" s="21">
        <v>1.5229999999999999</v>
      </c>
      <c r="E33" s="21">
        <v>1.5069999999999999</v>
      </c>
      <c r="F33" s="21">
        <v>37.869999999999997</v>
      </c>
      <c r="G33" s="18"/>
      <c r="H33" s="18"/>
      <c r="I33" s="18"/>
      <c r="J33" s="18"/>
      <c r="K33" s="18"/>
    </row>
    <row r="34" spans="1:11" ht="19.5" customHeight="1" x14ac:dyDescent="0.25">
      <c r="A34" s="19">
        <v>46252.44369521991</v>
      </c>
      <c r="B34" s="21">
        <v>72</v>
      </c>
      <c r="C34" s="21">
        <v>0.76300000000000001</v>
      </c>
      <c r="D34" s="21">
        <v>1.5229999999999999</v>
      </c>
      <c r="E34" s="21">
        <v>1.508</v>
      </c>
      <c r="F34" s="21">
        <v>35.26</v>
      </c>
      <c r="G34" s="18"/>
      <c r="H34" s="18"/>
      <c r="I34" s="18"/>
      <c r="J34" s="18"/>
      <c r="K34" s="18"/>
    </row>
    <row r="35" spans="1:11" ht="19.5" customHeight="1" x14ac:dyDescent="0.25">
      <c r="A35" s="19">
        <v>46252.44368689815</v>
      </c>
      <c r="B35" s="21">
        <v>65</v>
      </c>
      <c r="C35" s="21">
        <v>0.69</v>
      </c>
      <c r="D35" s="21">
        <v>1.5229999999999999</v>
      </c>
      <c r="E35" s="21">
        <v>1.51</v>
      </c>
      <c r="F35" s="21">
        <v>31.87</v>
      </c>
      <c r="G35" s="18"/>
      <c r="H35" s="18"/>
      <c r="I35" s="18"/>
      <c r="J35" s="18"/>
      <c r="K35" s="18"/>
    </row>
    <row r="36" spans="1:11" ht="19.5" customHeight="1" x14ac:dyDescent="0.25">
      <c r="A36" s="19">
        <v>46252.443678784723</v>
      </c>
      <c r="B36" s="21">
        <v>58</v>
      </c>
      <c r="C36" s="21">
        <v>0.61599999999999999</v>
      </c>
      <c r="D36" s="21">
        <v>1.5229999999999999</v>
      </c>
      <c r="E36" s="21">
        <v>1.5109999999999999</v>
      </c>
      <c r="F36" s="21">
        <v>28.47</v>
      </c>
      <c r="G36" s="18"/>
      <c r="H36" s="18"/>
      <c r="I36" s="18"/>
      <c r="J36" s="18"/>
      <c r="K36" s="18"/>
    </row>
    <row r="37" spans="1:11" ht="19.5" customHeight="1" x14ac:dyDescent="0.25">
      <c r="A37" s="19">
        <v>46252.443670613429</v>
      </c>
      <c r="B37" s="21">
        <v>51</v>
      </c>
      <c r="C37" s="21">
        <v>0.54200000000000004</v>
      </c>
      <c r="D37" s="21">
        <v>1.5229999999999999</v>
      </c>
      <c r="E37" s="21">
        <v>1.5129999999999999</v>
      </c>
      <c r="F37" s="21">
        <v>24.56</v>
      </c>
      <c r="G37" s="18"/>
      <c r="H37" s="18"/>
      <c r="I37" s="18"/>
      <c r="J37" s="18"/>
      <c r="K37" s="18"/>
    </row>
    <row r="38" spans="1:11" ht="19.5" customHeight="1" x14ac:dyDescent="0.25">
      <c r="A38" s="19">
        <v>46252.443662407408</v>
      </c>
      <c r="B38" s="21">
        <v>44</v>
      </c>
      <c r="C38" s="21">
        <v>0.46800000000000003</v>
      </c>
      <c r="D38" s="21">
        <v>1.524</v>
      </c>
      <c r="E38" s="21">
        <v>1.5149999999999999</v>
      </c>
      <c r="F38" s="21">
        <v>21.86</v>
      </c>
      <c r="G38" s="18"/>
      <c r="H38" s="18"/>
      <c r="I38" s="18"/>
      <c r="J38" s="18"/>
      <c r="K38" s="18"/>
    </row>
    <row r="39" spans="1:11" ht="19.5" customHeight="1" x14ac:dyDescent="0.25">
      <c r="A39" s="19">
        <v>46252.443654155089</v>
      </c>
      <c r="B39" s="21">
        <v>37</v>
      </c>
      <c r="C39" s="21">
        <v>0.39400000000000002</v>
      </c>
      <c r="D39" s="21">
        <v>1.5249999999999999</v>
      </c>
      <c r="E39" s="21">
        <v>1.5189999999999999</v>
      </c>
      <c r="F39" s="21">
        <v>14.63</v>
      </c>
      <c r="G39" s="18"/>
      <c r="H39" s="18"/>
      <c r="I39" s="18"/>
      <c r="J39" s="18"/>
      <c r="K39" s="18"/>
    </row>
    <row r="40" spans="1:11" ht="19.5" customHeight="1" x14ac:dyDescent="0.25">
      <c r="A40" s="19">
        <v>46252.443645879626</v>
      </c>
      <c r="B40" s="21">
        <v>30</v>
      </c>
      <c r="C40" s="21">
        <v>0.316</v>
      </c>
      <c r="D40" s="21">
        <v>1.5249999999999999</v>
      </c>
      <c r="E40" s="21">
        <v>1.5209999999999999</v>
      </c>
      <c r="F40" s="21">
        <v>14.15</v>
      </c>
      <c r="G40" s="18"/>
      <c r="H40" s="18"/>
      <c r="I40" s="18"/>
      <c r="J40" s="18"/>
      <c r="K40" s="18"/>
    </row>
    <row r="41" spans="1:11" ht="19.5" customHeight="1" x14ac:dyDescent="0.25">
      <c r="A41" s="19">
        <v>46252.443637812503</v>
      </c>
      <c r="B41" s="21" t="s">
        <v>34</v>
      </c>
      <c r="C41" s="21" t="s">
        <v>35</v>
      </c>
      <c r="D41" s="21" t="s">
        <v>36</v>
      </c>
      <c r="E41" s="21" t="s">
        <v>37</v>
      </c>
      <c r="F41" s="21" t="s">
        <v>38</v>
      </c>
      <c r="G41" s="18"/>
      <c r="H41" s="18"/>
      <c r="I41" s="18"/>
      <c r="J41" s="18"/>
      <c r="K41" s="18"/>
    </row>
    <row r="42" spans="1:11" ht="19.5" customHeight="1" x14ac:dyDescent="0.25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9.5" customHeight="1" x14ac:dyDescent="0.25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9.5" customHeight="1" x14ac:dyDescent="0.25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9.5" customHeight="1" x14ac:dyDescent="0.25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9.5" customHeight="1" x14ac:dyDescent="0.25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9.5" customHeight="1" x14ac:dyDescent="0.25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9.5" customHeight="1" x14ac:dyDescent="0.25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9.5" customHeight="1" x14ac:dyDescent="0.25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9.5" customHeight="1" x14ac:dyDescent="0.25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9.5" customHeight="1" x14ac:dyDescent="0.25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9.5" customHeight="1" x14ac:dyDescent="0.25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19.5" customHeight="1" x14ac:dyDescent="0.25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19.5" customHeight="1" x14ac:dyDescent="0.25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19.5" customHeight="1" x14ac:dyDescent="0.25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19.5" customHeight="1" x14ac:dyDescent="0.25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9.5" customHeight="1" x14ac:dyDescent="0.25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9.5" customHeight="1" x14ac:dyDescent="0.25"/>
    <row r="59" spans="1:11" ht="19.5" customHeight="1" x14ac:dyDescent="0.25"/>
    <row r="60" spans="1:11" ht="19.5" customHeight="1" x14ac:dyDescent="0.25"/>
    <row r="61" spans="1:11" ht="19.5" customHeight="1" x14ac:dyDescent="0.25"/>
    <row r="62" spans="1:11" ht="19.5" customHeight="1" x14ac:dyDescent="0.25"/>
    <row r="63" spans="1:11" ht="19.5" customHeight="1" x14ac:dyDescent="0.25"/>
    <row r="64" spans="1:11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Idő_x000d__x000a__x000d__x000a_TBL_CUR[TIME]" sqref="A5" xr:uid="{CF878DE6-8FE0-41E4-8CED-DBEB5640788C}"/>
    <dataValidation allowBlank="1" showInputMessage="1" showErrorMessage="1" prompt="TBL_CUR[CH1]" sqref="B5" xr:uid="{1C0F2961-BA33-43B3-BADB-68B0BE65EB2F}"/>
    <dataValidation allowBlank="1" showInputMessage="1" showErrorMessage="1" prompt="TBL_CUR[CH2]" sqref="C5" xr:uid="{5B600942-8AA1-4FC2-B16A-674DD5B99120}"/>
    <dataValidation allowBlank="1" showInputMessage="1" showErrorMessage="1" prompt="TBL_CUR[CH3]" sqref="D5" xr:uid="{E11EBBD1-56BB-409F-AAD6-4422A3E1F0A1}"/>
    <dataValidation allowBlank="1" showInputMessage="1" showErrorMessage="1" prompt="TBL_CUR[CH4]" sqref="E5" xr:uid="{EFBE2937-2840-4B8D-9BA2-BAC066876FF2}"/>
    <dataValidation allowBlank="1" showInputMessage="1" showErrorMessage="1" prompt="TBL_CUR[CH5]" sqref="F5" xr:uid="{D719B7DA-F735-45D0-B948-52EC1AA067F9}"/>
    <dataValidation allowBlank="1" showInputMessage="1" showErrorMessage="1" prompt="Idő_x000d__x000a__x000d__x000a_TBL_HST[TIME]" sqref="A8:A57" xr:uid="{48D23A30-479B-42F3-B34E-ABAB13263EC0}"/>
    <dataValidation allowBlank="1" showInputMessage="1" showErrorMessage="1" prompt="TBL_HST[CH1]" sqref="B8:B57" xr:uid="{FDCA9E54-9749-41C4-B207-A0C4C5CDCEF1}"/>
    <dataValidation allowBlank="1" showInputMessage="1" showErrorMessage="1" prompt="TBL_HST[CH2]" sqref="C8:C57" xr:uid="{95B382C7-37B7-4BA2-B321-E279B08E7765}"/>
    <dataValidation allowBlank="1" showInputMessage="1" showErrorMessage="1" prompt="TBL_HST[CH3]" sqref="D8:D57" xr:uid="{42E6165E-C7A4-4229-8559-171AB521A62D}"/>
    <dataValidation allowBlank="1" showInputMessage="1" showErrorMessage="1" prompt="TBL_HST[CH4]" sqref="E8:E57" xr:uid="{5B75B411-202F-45D9-B39B-58E2431F720C}"/>
    <dataValidation allowBlank="1" showInputMessage="1" showErrorMessage="1" prompt="TBL_HST[CH5]" sqref="F8:F57" xr:uid="{0FD68D69-95E1-44ED-B1FD-7642245962EC}"/>
    <dataValidation allowBlank="1" showInputMessage="1" showErrorMessage="1" prompt="TBL_CUR[CH6]" sqref="G5" xr:uid="{4E4E9C89-81AE-41D1-95A2-973E92A814DE}"/>
    <dataValidation allowBlank="1" showInputMessage="1" showErrorMessage="1" prompt="TBL_CUR[CH7]" sqref="H5" xr:uid="{4AB7976A-F1C7-40FF-9E16-80F3C9C40475}"/>
    <dataValidation allowBlank="1" showInputMessage="1" showErrorMessage="1" prompt="TBL_CUR[CH8]" sqref="I5" xr:uid="{4175DCA8-DAF1-423E-AF6F-959F54A3997F}"/>
    <dataValidation allowBlank="1" showInputMessage="1" showErrorMessage="1" prompt="TBL_CUR[CH9]" sqref="J5" xr:uid="{9BBA18F4-9E7E-4281-8590-706FD8464158}"/>
    <dataValidation allowBlank="1" showInputMessage="1" showErrorMessage="1" prompt="TBL_CUR[CH10]" sqref="K5" xr:uid="{D1593AB7-AB70-4B86-88A6-6C52DBFF49D0}"/>
    <dataValidation allowBlank="1" showInputMessage="1" showErrorMessage="1" prompt="TBL_HST[CH6]" sqref="G8:G57" xr:uid="{B3267FB8-22B5-4817-958A-F41DF4B233A6}"/>
    <dataValidation allowBlank="1" showInputMessage="1" showErrorMessage="1" prompt="TBL_HST[CH7]" sqref="H8:H57" xr:uid="{6A84DFE8-7985-4228-8B20-D4CE9FD5DFA2}"/>
    <dataValidation allowBlank="1" showInputMessage="1" showErrorMessage="1" prompt="TBL_HST[CH8]" sqref="I8:I57" xr:uid="{00F9645B-5E2B-4AB6-A4B7-814BBF7E4403}"/>
    <dataValidation allowBlank="1" showInputMessage="1" showErrorMessage="1" prompt="TBL_HST[CH9]" sqref="J8:J57" xr:uid="{363D5583-94DC-4779-AE32-41DCAFAA5114}"/>
    <dataValidation allowBlank="1" showInputMessage="1" showErrorMessage="1" prompt="TBL_HST[CH10]" sqref="K8:K57" xr:uid="{A8F2D4D0-FAC2-4623-A481-69BC0CB733C1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4446-6A00-40D5-8692-156B5AD4FEAA}">
  <dimension ref="A1:J5"/>
  <sheetViews>
    <sheetView workbookViewId="0">
      <selection activeCell="A5" sqref="A5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40" t="s">
        <v>28</v>
      </c>
      <c r="B1" s="40"/>
      <c r="C1" s="40"/>
      <c r="D1" s="40"/>
      <c r="E1" s="40"/>
      <c r="F1" s="40"/>
      <c r="G1" s="40"/>
      <c r="H1" s="40"/>
    </row>
    <row r="2" spans="1:10" ht="16.5" x14ac:dyDescent="0.25">
      <c r="A2" s="41" t="s">
        <v>29</v>
      </c>
      <c r="B2" s="41"/>
      <c r="C2" s="41"/>
      <c r="D2" s="41"/>
      <c r="E2" s="41"/>
      <c r="F2" s="41"/>
      <c r="G2" s="41"/>
      <c r="H2" s="41"/>
    </row>
    <row r="3" spans="1:10" ht="17.45" customHeight="1" x14ac:dyDescent="0.25"/>
    <row r="4" spans="1:10" ht="19.5" customHeight="1" x14ac:dyDescent="0.25">
      <c r="A4" s="34" t="s">
        <v>10</v>
      </c>
      <c r="B4" s="35" t="s">
        <v>12</v>
      </c>
      <c r="C4" s="35" t="s">
        <v>13</v>
      </c>
      <c r="D4" s="35" t="s">
        <v>14</v>
      </c>
      <c r="E4" s="35" t="s">
        <v>15</v>
      </c>
      <c r="F4" s="35" t="s">
        <v>16</v>
      </c>
      <c r="G4" s="35" t="s">
        <v>17</v>
      </c>
      <c r="H4" s="35" t="s">
        <v>18</v>
      </c>
      <c r="I4" s="35" t="s">
        <v>19</v>
      </c>
      <c r="J4" s="35" t="s">
        <v>20</v>
      </c>
    </row>
    <row r="5" spans="1:10" ht="27" customHeight="1" x14ac:dyDescent="0.25">
      <c r="A5" s="15" t="str">
        <f>grafikon!C2</f>
        <v>s</v>
      </c>
      <c r="B5" s="15"/>
      <c r="C5" s="15"/>
      <c r="D5" s="15"/>
      <c r="E5" s="15"/>
      <c r="F5" s="15"/>
      <c r="G5" s="15"/>
      <c r="H5" s="15"/>
      <c r="I5" s="15"/>
      <c r="J5" s="15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0792-797E-473F-A096-AD0BB644E6EA}">
  <dimension ref="A1:E13"/>
  <sheetViews>
    <sheetView workbookViewId="0">
      <selection activeCell="C7" sqref="C7"/>
    </sheetView>
  </sheetViews>
  <sheetFormatPr defaultRowHeight="15" x14ac:dyDescent="0.25"/>
  <cols>
    <col min="1" max="1" width="30.7109375" style="12" customWidth="1"/>
    <col min="2" max="2" width="0.140625" style="12" customWidth="1"/>
    <col min="3" max="3" width="30.7109375" style="12" customWidth="1"/>
    <col min="4" max="16384" width="9.140625" style="12"/>
  </cols>
  <sheetData>
    <row r="1" spans="1:5" ht="30.75" x14ac:dyDescent="0.55000000000000004">
      <c r="A1" s="42" t="s">
        <v>21</v>
      </c>
      <c r="B1" s="42"/>
      <c r="C1" s="42"/>
      <c r="D1" s="42"/>
      <c r="E1" s="42"/>
    </row>
    <row r="2" spans="1:5" ht="50.1" customHeight="1" x14ac:dyDescent="0.25">
      <c r="A2" s="43" t="s">
        <v>22</v>
      </c>
      <c r="B2" s="43"/>
      <c r="C2" s="43"/>
      <c r="D2" s="43"/>
      <c r="E2" s="43"/>
    </row>
    <row r="3" spans="1:5" ht="4.5" customHeight="1" x14ac:dyDescent="0.25"/>
    <row r="4" spans="1:5" ht="24" customHeight="1" x14ac:dyDescent="0.25">
      <c r="A4" s="33" t="s">
        <v>2</v>
      </c>
      <c r="B4" s="13">
        <v>150</v>
      </c>
      <c r="C4" s="14">
        <v>150</v>
      </c>
    </row>
    <row r="5" spans="1:5" ht="4.5" customHeight="1" x14ac:dyDescent="0.25"/>
    <row r="6" spans="1:5" ht="24" customHeight="1" x14ac:dyDescent="0.25">
      <c r="A6" s="33" t="s">
        <v>23</v>
      </c>
      <c r="B6" s="13">
        <v>15</v>
      </c>
      <c r="C6" s="14">
        <v>50</v>
      </c>
    </row>
    <row r="7" spans="1:5" ht="4.5" customHeight="1" x14ac:dyDescent="0.25"/>
    <row r="8" spans="1:5" ht="24" customHeight="1" x14ac:dyDescent="0.25">
      <c r="A8" s="33" t="s">
        <v>24</v>
      </c>
      <c r="B8" s="13">
        <v>10</v>
      </c>
      <c r="C8" s="14">
        <v>10</v>
      </c>
    </row>
    <row r="9" spans="1:5" ht="4.5" customHeight="1" x14ac:dyDescent="0.25"/>
    <row r="10" spans="1:5" ht="24" customHeight="1" x14ac:dyDescent="0.25">
      <c r="A10" s="33" t="s">
        <v>25</v>
      </c>
      <c r="B10" s="13" t="s">
        <v>26</v>
      </c>
      <c r="C10" s="14" t="s">
        <v>40</v>
      </c>
    </row>
    <row r="13" spans="1:5" ht="50.1" customHeight="1" x14ac:dyDescent="0.25">
      <c r="A13" s="44" t="s">
        <v>27</v>
      </c>
      <c r="B13" s="44"/>
      <c r="C13" s="44"/>
      <c r="D13" s="44"/>
      <c r="E13" s="44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Csak 10 és 1000 közötti értéket adhat meg" prompt="Az adatolvasások minimális időtartama ezredmásodpercben. 10 1000" sqref="C4" xr:uid="{687F14C5-344F-4D9E-A69B-752FC3F1D8A2}">
      <formula1>10</formula1>
      <formula2>1000</formula2>
    </dataValidation>
    <dataValidation type="whole" allowBlank="1" showInputMessage="1" showErrorMessage="1" error="Csak 1 és 1000000 közötti értéket adhat meg" prompt="A megőrzendő múltbeli adatsorok száma. 1 1000000" sqref="C6" xr:uid="{98354CDC-C727-4C1A-AC88-9A53A986A028}">
      <formula1>1</formula1>
      <formula2>1000000</formula2>
    </dataValidation>
    <dataValidation type="whole" allowBlank="1" showInputMessage="1" showErrorMessage="1" error="Csak 1 és 1000 közötti értéket adhat meg" prompt="Az elolvasni kívánt adatoszlopok száma. 1 1000" sqref="C8" xr:uid="{EBA95C00-E9DE-4878-8E24-E0687F433A4A}">
      <formula1>1</formula1>
      <formula2>1000</formula2>
    </dataValidation>
    <dataValidation type="list" errorStyle="information" allowBlank="1" showInputMessage="1" sqref="C10" xr:uid="{AE860725-B5ED-4219-9FA1-10CA6418C92F}">
      <formula1>"Legújabbak elöl,Legújabbak utoljára"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7B44-8467-4CA2-8974-1AFFEA446CED}">
  <dimension ref="A1:L16"/>
  <sheetViews>
    <sheetView workbookViewId="0">
      <selection sqref="A1:G1"/>
    </sheetView>
  </sheetViews>
  <sheetFormatPr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9.140625" style="2"/>
    <col min="9" max="9" width="16.7109375" style="2" customWidth="1"/>
    <col min="10" max="10" width="60.7109375" style="2" customWidth="1"/>
    <col min="11" max="16384" width="9.140625" style="2"/>
  </cols>
  <sheetData>
    <row r="1" spans="1:12" ht="30.75" x14ac:dyDescent="0.55000000000000004">
      <c r="A1" s="47" t="s">
        <v>43</v>
      </c>
      <c r="B1" s="47"/>
      <c r="C1" s="47"/>
      <c r="D1" s="47"/>
      <c r="E1" s="47"/>
      <c r="F1" s="47"/>
      <c r="G1" s="47"/>
      <c r="L1" s="30" t="s">
        <v>46</v>
      </c>
    </row>
    <row r="2" spans="1:12" ht="48" customHeight="1" x14ac:dyDescent="0.25">
      <c r="A2" s="48" t="s">
        <v>4</v>
      </c>
      <c r="B2" s="48"/>
      <c r="C2" s="48"/>
      <c r="D2" s="48"/>
      <c r="E2" s="48"/>
      <c r="F2" s="48"/>
      <c r="G2" s="48"/>
    </row>
    <row r="3" spans="1:12" ht="26.1" customHeight="1" x14ac:dyDescent="0.5">
      <c r="B3" s="51" t="s">
        <v>0</v>
      </c>
      <c r="C3" s="51"/>
      <c r="D3" s="51"/>
      <c r="E3" s="51"/>
      <c r="F3" s="51"/>
      <c r="G3" s="51"/>
      <c r="H3" s="51"/>
    </row>
    <row r="4" spans="1:12" ht="26.1" customHeight="1" x14ac:dyDescent="0.3">
      <c r="B4" s="49"/>
      <c r="C4" s="49"/>
      <c r="D4" s="49"/>
      <c r="E4" s="49"/>
      <c r="F4" s="49"/>
      <c r="G4" s="49"/>
      <c r="I4" s="45" t="s">
        <v>1</v>
      </c>
      <c r="J4" s="45"/>
    </row>
    <row r="5" spans="1:12" ht="24" customHeight="1" x14ac:dyDescent="0.25">
      <c r="B5" s="49"/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I5" s="46" t="s">
        <v>45</v>
      </c>
      <c r="J5" s="46"/>
      <c r="K5" s="30">
        <v>1</v>
      </c>
    </row>
    <row r="6" spans="1:12" ht="24" customHeight="1" x14ac:dyDescent="0.3">
      <c r="B6" s="49"/>
      <c r="C6" s="32" t="s">
        <v>10</v>
      </c>
      <c r="D6" s="5" t="s">
        <v>10</v>
      </c>
      <c r="E6" s="5"/>
      <c r="F6" s="5"/>
      <c r="G6" s="4" t="s">
        <v>11</v>
      </c>
      <c r="I6" s="45" t="s">
        <v>2</v>
      </c>
      <c r="J6" s="45"/>
    </row>
    <row r="7" spans="1:12" ht="24" customHeight="1" x14ac:dyDescent="0.25">
      <c r="B7" s="49"/>
      <c r="C7" s="7" t="s">
        <v>12</v>
      </c>
      <c r="D7" s="8" t="s">
        <v>12</v>
      </c>
      <c r="E7" s="8"/>
      <c r="F7" s="8"/>
      <c r="G7" s="6" t="s">
        <v>11</v>
      </c>
      <c r="I7" s="31">
        <v>150</v>
      </c>
    </row>
    <row r="8" spans="1:12" ht="24" customHeight="1" x14ac:dyDescent="0.3">
      <c r="B8" s="49"/>
      <c r="C8" s="7" t="s">
        <v>13</v>
      </c>
      <c r="D8" s="8" t="s">
        <v>13</v>
      </c>
      <c r="E8" s="8"/>
      <c r="F8" s="8"/>
      <c r="G8" s="6" t="s">
        <v>11</v>
      </c>
      <c r="I8" s="45" t="s">
        <v>3</v>
      </c>
      <c r="J8" s="45"/>
    </row>
    <row r="9" spans="1:12" ht="24" customHeight="1" x14ac:dyDescent="0.25">
      <c r="B9" s="49"/>
      <c r="C9" s="7" t="s">
        <v>14</v>
      </c>
      <c r="D9" s="8" t="s">
        <v>14</v>
      </c>
      <c r="E9" s="8"/>
      <c r="F9" s="8"/>
      <c r="G9" s="6" t="s">
        <v>11</v>
      </c>
      <c r="I9" s="31">
        <v>115200</v>
      </c>
    </row>
    <row r="10" spans="1:12" ht="24" customHeight="1" x14ac:dyDescent="0.25">
      <c r="B10" s="49"/>
      <c r="C10" s="7" t="s">
        <v>15</v>
      </c>
      <c r="D10" s="8" t="s">
        <v>15</v>
      </c>
      <c r="E10" s="8"/>
      <c r="F10" s="8"/>
      <c r="G10" s="6" t="s">
        <v>11</v>
      </c>
    </row>
    <row r="11" spans="1:12" ht="24" customHeight="1" x14ac:dyDescent="0.25">
      <c r="B11" s="49"/>
      <c r="C11" s="7" t="s">
        <v>16</v>
      </c>
      <c r="D11" s="8" t="s">
        <v>16</v>
      </c>
      <c r="E11" s="8"/>
      <c r="F11" s="8"/>
      <c r="G11" s="6" t="s">
        <v>11</v>
      </c>
    </row>
    <row r="12" spans="1:12" ht="24" customHeight="1" x14ac:dyDescent="0.25">
      <c r="B12" s="49"/>
      <c r="C12" s="7" t="s">
        <v>17</v>
      </c>
      <c r="D12" s="8" t="s">
        <v>17</v>
      </c>
      <c r="E12" s="8"/>
      <c r="F12" s="8"/>
      <c r="G12" s="6" t="s">
        <v>11</v>
      </c>
    </row>
    <row r="13" spans="1:12" ht="24" customHeight="1" x14ac:dyDescent="0.25">
      <c r="B13" s="49"/>
      <c r="C13" s="7" t="s">
        <v>18</v>
      </c>
      <c r="D13" s="8" t="s">
        <v>18</v>
      </c>
      <c r="E13" s="8"/>
      <c r="F13" s="8"/>
      <c r="G13" s="6" t="s">
        <v>11</v>
      </c>
    </row>
    <row r="14" spans="1:12" ht="24" customHeight="1" x14ac:dyDescent="0.25">
      <c r="B14" s="49"/>
      <c r="C14" s="7" t="s">
        <v>19</v>
      </c>
      <c r="D14" s="8" t="s">
        <v>19</v>
      </c>
      <c r="E14" s="8"/>
      <c r="F14" s="8"/>
      <c r="G14" s="6" t="s">
        <v>11</v>
      </c>
    </row>
    <row r="15" spans="1:12" ht="24" customHeight="1" thickBot="1" x14ac:dyDescent="0.3">
      <c r="B15" s="50"/>
      <c r="C15" s="9" t="s">
        <v>20</v>
      </c>
      <c r="D15" s="10" t="s">
        <v>20</v>
      </c>
      <c r="E15" s="10"/>
      <c r="F15" s="10"/>
      <c r="G15" s="11" t="s">
        <v>11</v>
      </c>
    </row>
    <row r="16" spans="1:12" ht="15.75" thickTop="1" x14ac:dyDescent="0.25"/>
  </sheetData>
  <mergeCells count="9">
    <mergeCell ref="I4:J4"/>
    <mergeCell ref="I5:J5"/>
    <mergeCell ref="I6:J6"/>
    <mergeCell ref="I8:J8"/>
    <mergeCell ref="A1:G1"/>
    <mergeCell ref="A2:G2"/>
    <mergeCell ref="B4:G4"/>
    <mergeCell ref="B5:B15"/>
    <mergeCell ref="B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9</vt:i4>
      </vt:variant>
    </vt:vector>
  </HeadingPairs>
  <TitlesOfParts>
    <vt:vector size="14" baseType="lpstr">
      <vt:lpstr>grafikon</vt:lpstr>
      <vt:lpstr>Bejövő adatok</vt:lpstr>
      <vt:lpstr>Kimenő adatok</vt:lpstr>
      <vt:lpstr>Beállítások</vt:lpstr>
      <vt:lpstr>Jegyzékfájl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dr. Piláth Károly</dc:creator>
  <cp:lastModifiedBy>dr. Piláth Károly</cp:lastModifiedBy>
  <dcterms:created xsi:type="dcterms:W3CDTF">2026-08-11T11:56:50Z</dcterms:created>
  <dcterms:modified xsi:type="dcterms:W3CDTF">2026-08-18T09:17:43Z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18990003-f684-45f1-a1f6-c1db772e6459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